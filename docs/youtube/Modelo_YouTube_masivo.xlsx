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rvador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Optimista" sheetId="3" state="visible" r:id="rId3"/>
    <sheet xmlns:r="http://schemas.openxmlformats.org/officeDocument/2006/relationships" name="IA coste casi cero" sheetId="4" state="visible" r:id="rId4"/>
    <sheet xmlns:r="http://schemas.openxmlformats.org/officeDocument/2006/relationships" name="Sensibilidad" sheetId="5" state="visible" r:id="rId5"/>
    <sheet xmlns:r="http://schemas.openxmlformats.org/officeDocument/2006/relationships" name="Banco 100 ide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Vídeos largos</t>
        </is>
      </c>
      <c r="C1" s="1" t="inlineStr">
        <is>
          <t>Shorts</t>
        </is>
      </c>
      <c r="D1" s="1" t="inlineStr">
        <is>
          <t>Vistas vídeos nuevos</t>
        </is>
      </c>
      <c r="E1" s="1" t="inlineStr">
        <is>
          <t>Vistas catálogo</t>
        </is>
      </c>
      <c r="F1" s="1" t="inlineStr">
        <is>
          <t>Vistas largos total</t>
        </is>
      </c>
      <c r="G1" s="1" t="inlineStr">
        <is>
          <t>Vistas Shorts</t>
        </is>
      </c>
      <c r="H1" s="1" t="inlineStr">
        <is>
          <t>Horas públicas 12m</t>
        </is>
      </c>
      <c r="I1" s="1" t="inlineStr">
        <is>
          <t>Suscriptores</t>
        </is>
      </c>
      <c r="J1" s="1" t="inlineStr">
        <is>
          <t>Estado YPP</t>
        </is>
      </c>
      <c r="K1" s="1" t="inlineStr">
        <is>
          <t>Anuncios €</t>
        </is>
      </c>
      <c r="L1" s="1" t="inlineStr">
        <is>
          <t>Afiliación €</t>
        </is>
      </c>
      <c r="M1" s="1" t="inlineStr">
        <is>
          <t>Patrocinio €</t>
        </is>
      </c>
      <c r="N1" s="1" t="inlineStr">
        <is>
          <t>Producto €</t>
        </is>
      </c>
      <c r="O1" s="1" t="inlineStr">
        <is>
          <t>Servicios €</t>
        </is>
      </c>
      <c r="P1" s="1" t="inlineStr">
        <is>
          <t>Ingresos €</t>
        </is>
      </c>
      <c r="Q1" s="1" t="inlineStr">
        <is>
          <t>Herramientas €</t>
        </is>
      </c>
      <c r="R1" s="1" t="inlineStr">
        <is>
          <t>Edición y licencias €</t>
        </is>
      </c>
      <c r="S1" s="1" t="inlineStr">
        <is>
          <t>Otros €</t>
        </is>
      </c>
      <c r="T1" s="1" t="inlineStr">
        <is>
          <t>Costes €</t>
        </is>
      </c>
      <c r="U1" s="1" t="inlineStr">
        <is>
          <t>BAI €</t>
        </is>
      </c>
      <c r="V1" s="1" t="inlineStr">
        <is>
          <t>Caja acumulada €</t>
        </is>
      </c>
    </row>
    <row r="2">
      <c r="A2" t="inlineStr">
        <is>
          <t>Nov-26</t>
        </is>
      </c>
      <c r="B2" t="n">
        <v>4</v>
      </c>
      <c r="C2" t="n">
        <v>8</v>
      </c>
      <c r="D2" t="n">
        <v>1200</v>
      </c>
      <c r="E2" t="n">
        <v>0</v>
      </c>
      <c r="F2" t="n">
        <v>1200</v>
      </c>
      <c r="G2" t="n">
        <v>2400</v>
      </c>
      <c r="H2" t="n">
        <v>100</v>
      </c>
      <c r="I2" t="n">
        <v>8</v>
      </c>
      <c r="J2" t="inlineStr">
        <is>
          <t>No elegible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>
        <f>K2+L2+M2+N2+O2</f>
        <v/>
      </c>
      <c r="Q2" t="n">
        <v>50</v>
      </c>
      <c r="R2" t="n">
        <v>60</v>
      </c>
      <c r="S2" t="n">
        <v>100</v>
      </c>
      <c r="T2">
        <f>Q2+R2+S2</f>
        <v/>
      </c>
      <c r="U2">
        <f>P2-T2</f>
        <v/>
      </c>
      <c r="V2">
        <f>U2</f>
        <v/>
      </c>
    </row>
    <row r="3">
      <c r="A3" t="inlineStr">
        <is>
          <t>Dic-26</t>
        </is>
      </c>
      <c r="B3" t="n">
        <v>4</v>
      </c>
      <c r="C3" t="n">
        <v>8</v>
      </c>
      <c r="D3" t="n">
        <v>1479</v>
      </c>
      <c r="E3" t="n">
        <v>240</v>
      </c>
      <c r="F3" t="n">
        <v>1719</v>
      </c>
      <c r="G3" t="n">
        <v>3200</v>
      </c>
      <c r="H3" t="n">
        <v>243</v>
      </c>
      <c r="I3" t="n">
        <v>20</v>
      </c>
      <c r="J3" t="inlineStr">
        <is>
          <t>No elegible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>
        <f>K3+L3+M3+N3+O3</f>
        <v/>
      </c>
      <c r="Q3" t="n">
        <v>50</v>
      </c>
      <c r="R3" t="n">
        <v>60</v>
      </c>
      <c r="S3" t="n">
        <v>10</v>
      </c>
      <c r="T3">
        <f>Q3+R3+S3</f>
        <v/>
      </c>
      <c r="U3">
        <f>P3-T3</f>
        <v/>
      </c>
      <c r="V3">
        <f>V2+U3</f>
        <v/>
      </c>
    </row>
    <row r="4">
      <c r="A4" t="inlineStr">
        <is>
          <t>Ene-27</t>
        </is>
      </c>
      <c r="B4" t="n">
        <v>4</v>
      </c>
      <c r="C4" t="n">
        <v>8</v>
      </c>
      <c r="D4" t="n">
        <v>1824</v>
      </c>
      <c r="E4" t="n">
        <v>526</v>
      </c>
      <c r="F4" t="n">
        <v>2350</v>
      </c>
      <c r="G4" t="n">
        <v>4000</v>
      </c>
      <c r="H4" t="n">
        <v>439</v>
      </c>
      <c r="I4" t="n">
        <v>36</v>
      </c>
      <c r="J4" t="inlineStr">
        <is>
          <t>No elegible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>
        <f>K4+L4+M4+N4+O4</f>
        <v/>
      </c>
      <c r="Q4" t="n">
        <v>50</v>
      </c>
      <c r="R4" t="n">
        <v>60</v>
      </c>
      <c r="S4" t="n">
        <v>10</v>
      </c>
      <c r="T4">
        <f>Q4+R4+S4</f>
        <v/>
      </c>
      <c r="U4">
        <f>P4-T4</f>
        <v/>
      </c>
      <c r="V4">
        <f>V3+U4</f>
        <v/>
      </c>
    </row>
    <row r="5">
      <c r="A5" t="inlineStr">
        <is>
          <t>Feb-27</t>
        </is>
      </c>
      <c r="B5" t="n">
        <v>5</v>
      </c>
      <c r="C5" t="n">
        <v>10</v>
      </c>
      <c r="D5" t="n">
        <v>2811</v>
      </c>
      <c r="E5" t="n">
        <v>870</v>
      </c>
      <c r="F5" t="n">
        <v>3681</v>
      </c>
      <c r="G5" t="n">
        <v>6000</v>
      </c>
      <c r="H5" t="n">
        <v>746</v>
      </c>
      <c r="I5" t="n">
        <v>62</v>
      </c>
      <c r="J5" t="inlineStr">
        <is>
          <t>No elegible</t>
        </is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>
        <f>K5+L5+M5+N5+O5</f>
        <v/>
      </c>
      <c r="Q5" t="n">
        <v>50</v>
      </c>
      <c r="R5" t="n">
        <v>75</v>
      </c>
      <c r="S5" t="n">
        <v>10</v>
      </c>
      <c r="T5">
        <f>Q5+R5+S5</f>
        <v/>
      </c>
      <c r="U5">
        <f>P5-T5</f>
        <v/>
      </c>
      <c r="V5">
        <f>V4+U5</f>
        <v/>
      </c>
    </row>
    <row r="6">
      <c r="A6" t="inlineStr">
        <is>
          <t>Mar-27</t>
        </is>
      </c>
      <c r="B6" t="n">
        <v>5</v>
      </c>
      <c r="C6" t="n">
        <v>10</v>
      </c>
      <c r="D6" t="n">
        <v>3465</v>
      </c>
      <c r="E6" t="n">
        <v>1397</v>
      </c>
      <c r="F6" t="n">
        <v>4863</v>
      </c>
      <c r="G6" t="n">
        <v>7000</v>
      </c>
      <c r="H6" t="n">
        <v>1151</v>
      </c>
      <c r="I6" t="n">
        <v>94</v>
      </c>
      <c r="J6" t="inlineStr">
        <is>
          <t>No elegible</t>
        </is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>
        <f>K6+L6+M6+N6+O6</f>
        <v/>
      </c>
      <c r="Q6" t="n">
        <v>90</v>
      </c>
      <c r="R6" t="n">
        <v>75</v>
      </c>
      <c r="S6" t="n">
        <v>10</v>
      </c>
      <c r="T6">
        <f>Q6+R6+S6</f>
        <v/>
      </c>
      <c r="U6">
        <f>P6-T6</f>
        <v/>
      </c>
      <c r="V6">
        <f>V5+U6</f>
        <v/>
      </c>
    </row>
    <row r="7">
      <c r="A7" t="inlineStr">
        <is>
          <t>Abr-27</t>
        </is>
      </c>
      <c r="B7" t="n">
        <v>5</v>
      </c>
      <c r="C7" t="n">
        <v>10</v>
      </c>
      <c r="D7" t="n">
        <v>4272</v>
      </c>
      <c r="E7" t="n">
        <v>2035</v>
      </c>
      <c r="F7" t="n">
        <v>6307</v>
      </c>
      <c r="G7" t="n">
        <v>8000</v>
      </c>
      <c r="H7" t="n">
        <v>1677</v>
      </c>
      <c r="I7" t="n">
        <v>136</v>
      </c>
      <c r="J7" t="inlineStr">
        <is>
          <t>No elegible</t>
        </is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>
        <f>K7+L7+M7+N7+O7</f>
        <v/>
      </c>
      <c r="Q7" t="n">
        <v>90</v>
      </c>
      <c r="R7" t="n">
        <v>75</v>
      </c>
      <c r="S7" t="n">
        <v>10</v>
      </c>
      <c r="T7">
        <f>Q7+R7+S7</f>
        <v/>
      </c>
      <c r="U7">
        <f>P7-T7</f>
        <v/>
      </c>
      <c r="V7">
        <f>V6+U7</f>
        <v/>
      </c>
    </row>
    <row r="8">
      <c r="A8" t="inlineStr">
        <is>
          <t>May-27</t>
        </is>
      </c>
      <c r="B8" t="n">
        <v>6</v>
      </c>
      <c r="C8" t="n">
        <v>12</v>
      </c>
      <c r="D8" t="n">
        <v>6320</v>
      </c>
      <c r="E8" t="n">
        <v>2808</v>
      </c>
      <c r="F8" t="n">
        <v>9128</v>
      </c>
      <c r="G8" t="n">
        <v>10800</v>
      </c>
      <c r="H8" t="n">
        <v>2437</v>
      </c>
      <c r="I8" t="n">
        <v>196</v>
      </c>
      <c r="J8" t="inlineStr">
        <is>
          <t>No elegible</t>
        </is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>
        <f>K8+L8+M8+N8+O8</f>
        <v/>
      </c>
      <c r="Q8" t="n">
        <v>90</v>
      </c>
      <c r="R8" t="n">
        <v>90</v>
      </c>
      <c r="S8" t="n">
        <v>10</v>
      </c>
      <c r="T8">
        <f>Q8+R8+S8</f>
        <v/>
      </c>
      <c r="U8">
        <f>P8-T8</f>
        <v/>
      </c>
      <c r="V8">
        <f>V7+U8</f>
        <v/>
      </c>
    </row>
    <row r="9">
      <c r="A9" t="inlineStr">
        <is>
          <t>Jun-27</t>
        </is>
      </c>
      <c r="B9" t="n">
        <v>6</v>
      </c>
      <c r="C9" t="n">
        <v>12</v>
      </c>
      <c r="D9" t="n">
        <v>7792</v>
      </c>
      <c r="E9" t="n">
        <v>3959</v>
      </c>
      <c r="F9" t="n">
        <v>11751</v>
      </c>
      <c r="G9" t="n">
        <v>12000</v>
      </c>
      <c r="H9" t="n">
        <v>3417</v>
      </c>
      <c r="I9" t="n">
        <v>273</v>
      </c>
      <c r="J9" t="inlineStr">
        <is>
          <t>No elegible</t>
        </is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>
        <f>K9+L9+M9+N9+O9</f>
        <v/>
      </c>
      <c r="Q9" t="n">
        <v>90</v>
      </c>
      <c r="R9" t="n">
        <v>90</v>
      </c>
      <c r="S9" t="n">
        <v>10</v>
      </c>
      <c r="T9">
        <f>Q9+R9+S9</f>
        <v/>
      </c>
      <c r="U9">
        <f>P9-T9</f>
        <v/>
      </c>
      <c r="V9">
        <f>V8+U9</f>
        <v/>
      </c>
    </row>
    <row r="10">
      <c r="A10" t="inlineStr">
        <is>
          <t>Jul-27</t>
        </is>
      </c>
      <c r="B10" t="n">
        <v>6</v>
      </c>
      <c r="C10" t="n">
        <v>12</v>
      </c>
      <c r="D10" t="n">
        <v>9606</v>
      </c>
      <c r="E10" t="n">
        <v>5359</v>
      </c>
      <c r="F10" t="n">
        <v>14965</v>
      </c>
      <c r="G10" t="n">
        <v>13200</v>
      </c>
      <c r="H10" t="n">
        <v>4664</v>
      </c>
      <c r="I10" t="n">
        <v>369</v>
      </c>
      <c r="J10" t="inlineStr">
        <is>
          <t>No elegible</t>
        </is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>
        <f>K10+L10+M10+N10+O10</f>
        <v/>
      </c>
      <c r="Q10" t="n">
        <v>90</v>
      </c>
      <c r="R10" t="n">
        <v>90</v>
      </c>
      <c r="S10" t="n">
        <v>10</v>
      </c>
      <c r="T10">
        <f>Q10+R10+S10</f>
        <v/>
      </c>
      <c r="U10">
        <f>P10-T10</f>
        <v/>
      </c>
      <c r="V10">
        <f>V9+U10</f>
        <v/>
      </c>
    </row>
    <row r="11">
      <c r="A11" t="inlineStr">
        <is>
          <t>Ago-27</t>
        </is>
      </c>
      <c r="B11" t="n">
        <v>6</v>
      </c>
      <c r="C11" t="n">
        <v>12</v>
      </c>
      <c r="D11" t="n">
        <v>11843</v>
      </c>
      <c r="E11" t="n">
        <v>7066</v>
      </c>
      <c r="F11" t="n">
        <v>18909</v>
      </c>
      <c r="G11" t="n">
        <v>14400</v>
      </c>
      <c r="H11" t="n">
        <v>6239</v>
      </c>
      <c r="I11" t="n">
        <v>490</v>
      </c>
      <c r="J11" t="inlineStr">
        <is>
          <t>No elegible</t>
        </is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>
        <f>K11+L11+M11+N11+O11</f>
        <v/>
      </c>
      <c r="Q11" t="n">
        <v>90</v>
      </c>
      <c r="R11" t="n">
        <v>90</v>
      </c>
      <c r="S11" t="n">
        <v>10</v>
      </c>
      <c r="T11">
        <f>Q11+R11+S11</f>
        <v/>
      </c>
      <c r="U11">
        <f>P11-T11</f>
        <v/>
      </c>
      <c r="V11">
        <f>V10+U11</f>
        <v/>
      </c>
    </row>
    <row r="12">
      <c r="A12" t="inlineStr">
        <is>
          <t>Sep-27</t>
        </is>
      </c>
      <c r="B12" t="n">
        <v>6</v>
      </c>
      <c r="C12" t="n">
        <v>12</v>
      </c>
      <c r="D12" t="n">
        <v>14600</v>
      </c>
      <c r="E12" t="n">
        <v>9152</v>
      </c>
      <c r="F12" t="n">
        <v>23752</v>
      </c>
      <c r="G12" t="n">
        <v>15600</v>
      </c>
      <c r="H12" t="n">
        <v>8219</v>
      </c>
      <c r="I12" t="n">
        <v>640</v>
      </c>
      <c r="J12" t="inlineStr">
        <is>
          <t>No elegible</t>
        </is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>
        <f>K12+L12+M12+N12+O12</f>
        <v/>
      </c>
      <c r="Q12" t="n">
        <v>90</v>
      </c>
      <c r="R12" t="n">
        <v>90</v>
      </c>
      <c r="S12" t="n">
        <v>10</v>
      </c>
      <c r="T12">
        <f>Q12+R12+S12</f>
        <v/>
      </c>
      <c r="U12">
        <f>P12-T12</f>
        <v/>
      </c>
      <c r="V12">
        <f>V11+U12</f>
        <v/>
      </c>
    </row>
    <row r="13">
      <c r="A13" t="inlineStr">
        <is>
          <t>Oct-27</t>
        </is>
      </c>
      <c r="B13" t="n">
        <v>6</v>
      </c>
      <c r="C13" t="n">
        <v>12</v>
      </c>
      <c r="D13" t="n">
        <v>18000</v>
      </c>
      <c r="E13" t="n">
        <v>11706</v>
      </c>
      <c r="F13" t="n">
        <v>29706</v>
      </c>
      <c r="G13" t="n">
        <v>16800</v>
      </c>
      <c r="H13" t="n">
        <v>10694</v>
      </c>
      <c r="I13" t="n">
        <v>827</v>
      </c>
      <c r="J13" t="inlineStr">
        <is>
          <t>No elegible</t>
        </is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>
        <f>K13+L13+M13+N13+O13</f>
        <v/>
      </c>
      <c r="Q13" t="n">
        <v>90</v>
      </c>
      <c r="R13" t="n">
        <v>90</v>
      </c>
      <c r="S13" t="n">
        <v>10</v>
      </c>
      <c r="T13">
        <f>Q13+R13+S13</f>
        <v/>
      </c>
      <c r="U13">
        <f>P13-T13</f>
        <v/>
      </c>
      <c r="V13">
        <f>V12+U13</f>
        <v/>
      </c>
    </row>
    <row r="15">
      <c r="A15" t="inlineStr">
        <is>
          <t>Hipótesis</t>
        </is>
      </c>
    </row>
    <row r="16">
      <c r="A16" t="inlineStr">
        <is>
          <t>nombre</t>
        </is>
      </c>
      <c r="B16" t="inlineStr">
        <is>
          <t>Conservador</t>
        </is>
      </c>
    </row>
    <row r="17">
      <c r="A17" t="inlineStr">
        <is>
          <t>videos</t>
        </is>
      </c>
      <c r="B17" t="inlineStr">
        <is>
          <t>[4, 4, 4, 5, 5, 5, 6, 6, 6, 6, 6, 6]</t>
        </is>
      </c>
    </row>
    <row r="18">
      <c r="A18" t="inlineStr">
        <is>
          <t>shorts</t>
        </is>
      </c>
      <c r="B18" t="inlineStr">
        <is>
          <t>[8, 8, 8, 10, 10, 10, 12, 12, 12, 12, 12, 12]</t>
        </is>
      </c>
    </row>
    <row r="19">
      <c r="A19" t="inlineStr">
        <is>
          <t>v_inicial</t>
        </is>
      </c>
      <c r="B19" t="inlineStr">
        <is>
          <t>300</t>
        </is>
      </c>
    </row>
    <row r="20">
      <c r="A20" t="inlineStr">
        <is>
          <t>v_final</t>
        </is>
      </c>
      <c r="B20" t="inlineStr">
        <is>
          <t>3000</t>
        </is>
      </c>
    </row>
    <row r="21">
      <c r="A21" t="inlineStr">
        <is>
          <t>cola</t>
        </is>
      </c>
      <c r="B21" t="inlineStr">
        <is>
          <t>0.2</t>
        </is>
      </c>
    </row>
    <row r="22">
      <c r="A22" t="inlineStr">
        <is>
          <t>decaimiento</t>
        </is>
      </c>
      <c r="B22" t="inlineStr">
        <is>
          <t>0.96</t>
        </is>
      </c>
    </row>
    <row r="23">
      <c r="A23" t="inlineStr">
        <is>
          <t>vistas_short</t>
        </is>
      </c>
      <c r="B23" t="inlineStr">
        <is>
          <t>[300, 400, 500, 600, 700, 800, 900, 1000, 1100, 1200, 1300, 1400]</t>
        </is>
      </c>
    </row>
    <row r="24">
      <c r="A24" t="inlineStr">
        <is>
          <t>avd_min</t>
        </is>
      </c>
      <c r="B24" t="inlineStr">
        <is>
          <t>5.0</t>
        </is>
      </c>
    </row>
    <row r="25">
      <c r="A25" t="inlineStr">
        <is>
          <t>subs_por_mil</t>
        </is>
      </c>
      <c r="B25" t="inlineStr">
        <is>
          <t>6</t>
        </is>
      </c>
    </row>
    <row r="26">
      <c r="A26" t="inlineStr">
        <is>
          <t>subs_por_mil_short</t>
        </is>
      </c>
      <c r="B26" t="inlineStr">
        <is>
          <t>0.5</t>
        </is>
      </c>
    </row>
    <row r="27">
      <c r="A27" t="inlineStr">
        <is>
          <t>umbral_horas</t>
        </is>
      </c>
      <c r="B27" t="inlineStr">
        <is>
          <t>8000</t>
        </is>
      </c>
    </row>
    <row r="28">
      <c r="A28" t="inlineStr">
        <is>
          <t>umbral_subs</t>
        </is>
      </c>
      <c r="B28" t="inlineStr">
        <is>
          <t>1000</t>
        </is>
      </c>
    </row>
    <row r="29">
      <c r="A29" t="inlineStr">
        <is>
          <t>retraso_revision</t>
        </is>
      </c>
      <c r="B29" t="inlineStr">
        <is>
          <t>1</t>
        </is>
      </c>
    </row>
    <row r="30">
      <c r="A30" t="inlineStr">
        <is>
          <t>rpm</t>
        </is>
      </c>
      <c r="B30" t="inlineStr">
        <is>
          <t>1.5</t>
        </is>
      </c>
    </row>
    <row r="31">
      <c r="A31" t="inlineStr">
        <is>
          <t>afil_por_mil</t>
        </is>
      </c>
      <c r="B31" t="inlineStr">
        <is>
          <t>0.15</t>
        </is>
      </c>
    </row>
    <row r="32">
      <c r="A32" t="inlineStr">
        <is>
          <t>afil_desde</t>
        </is>
      </c>
      <c r="B32" t="inlineStr">
        <is>
          <t>3</t>
        </is>
      </c>
    </row>
    <row r="33">
      <c r="A33" t="inlineStr">
        <is>
          <t>patro_desde</t>
        </is>
      </c>
      <c r="B33" t="inlineStr">
        <is>
          <t>13</t>
        </is>
      </c>
    </row>
    <row r="34">
      <c r="A34" t="inlineStr">
        <is>
          <t>patro_cpm</t>
        </is>
      </c>
      <c r="B34" t="inlineStr">
        <is>
          <t>12</t>
        </is>
      </c>
    </row>
    <row r="35">
      <c r="A35" t="inlineStr">
        <is>
          <t>patro_por_mes</t>
        </is>
      </c>
      <c r="B35" t="inlineStr">
        <is>
          <t>[1, 1, 1, 1, 1, 1, 1, 1, 1, 1, 1, 1]</t>
        </is>
      </c>
    </row>
    <row r="36">
      <c r="A36" t="inlineStr">
        <is>
          <t>prod_desde</t>
        </is>
      </c>
      <c r="B36" t="inlineStr">
        <is>
          <t>13</t>
        </is>
      </c>
    </row>
    <row r="37">
      <c r="A37" t="inlineStr">
        <is>
          <t>prod_conv</t>
        </is>
      </c>
      <c r="B37" t="inlineStr">
        <is>
          <t>0</t>
        </is>
      </c>
    </row>
    <row r="38">
      <c r="A38" t="inlineStr">
        <is>
          <t>prod_precio</t>
        </is>
      </c>
      <c r="B38" t="inlineStr">
        <is>
          <t>0</t>
        </is>
      </c>
    </row>
    <row r="39">
      <c r="A39" t="inlineStr">
        <is>
          <t>servicios</t>
        </is>
      </c>
      <c r="B39" t="inlineStr">
        <is>
          <t>[0, 0, 0, 0, 0, 0, 0, 0, 0, 0, 0, 0]</t>
        </is>
      </c>
    </row>
    <row r="40">
      <c r="A40" t="inlineStr">
        <is>
          <t>herramientas</t>
        </is>
      </c>
      <c r="B40" t="inlineStr">
        <is>
          <t>[50, 50, 50, 50, 90, 90, 90, 90, 90, 90, 90, 90]</t>
        </is>
      </c>
    </row>
    <row r="41">
      <c r="A41" t="inlineStr">
        <is>
          <t>edicion_por_video</t>
        </is>
      </c>
      <c r="B41" t="inlineStr">
        <is>
          <t>[0, 0, 0, 0, 0, 0, 0, 0, 0, 0, 0, 0]</t>
        </is>
      </c>
    </row>
    <row r="42">
      <c r="A42" t="inlineStr">
        <is>
          <t>guion_por_video</t>
        </is>
      </c>
      <c r="B42" t="inlineStr">
        <is>
          <t>[15, 15, 15, 15, 15, 15, 15, 15, 15, 15, 15, 15]</t>
        </is>
      </c>
    </row>
    <row r="43">
      <c r="A43" t="inlineStr">
        <is>
          <t>otros</t>
        </is>
      </c>
      <c r="B43" t="inlineStr">
        <is>
          <t>[100, 10, 10, 10, 10, 10, 10, 10, 10, 10, 10, 10]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Vídeos largos</t>
        </is>
      </c>
      <c r="C1" s="1" t="inlineStr">
        <is>
          <t>Shorts</t>
        </is>
      </c>
      <c r="D1" s="1" t="inlineStr">
        <is>
          <t>Vistas vídeos nuevos</t>
        </is>
      </c>
      <c r="E1" s="1" t="inlineStr">
        <is>
          <t>Vistas catálogo</t>
        </is>
      </c>
      <c r="F1" s="1" t="inlineStr">
        <is>
          <t>Vistas largos total</t>
        </is>
      </c>
      <c r="G1" s="1" t="inlineStr">
        <is>
          <t>Vistas Shorts</t>
        </is>
      </c>
      <c r="H1" s="1" t="inlineStr">
        <is>
          <t>Horas públicas 12m</t>
        </is>
      </c>
      <c r="I1" s="1" t="inlineStr">
        <is>
          <t>Suscriptores</t>
        </is>
      </c>
      <c r="J1" s="1" t="inlineStr">
        <is>
          <t>Estado YPP</t>
        </is>
      </c>
      <c r="K1" s="1" t="inlineStr">
        <is>
          <t>Anuncios €</t>
        </is>
      </c>
      <c r="L1" s="1" t="inlineStr">
        <is>
          <t>Afiliación €</t>
        </is>
      </c>
      <c r="M1" s="1" t="inlineStr">
        <is>
          <t>Patrocinio €</t>
        </is>
      </c>
      <c r="N1" s="1" t="inlineStr">
        <is>
          <t>Producto €</t>
        </is>
      </c>
      <c r="O1" s="1" t="inlineStr">
        <is>
          <t>Servicios €</t>
        </is>
      </c>
      <c r="P1" s="1" t="inlineStr">
        <is>
          <t>Ingresos €</t>
        </is>
      </c>
      <c r="Q1" s="1" t="inlineStr">
        <is>
          <t>Herramientas €</t>
        </is>
      </c>
      <c r="R1" s="1" t="inlineStr">
        <is>
          <t>Edición y licencias €</t>
        </is>
      </c>
      <c r="S1" s="1" t="inlineStr">
        <is>
          <t>Otros €</t>
        </is>
      </c>
      <c r="T1" s="1" t="inlineStr">
        <is>
          <t>Costes €</t>
        </is>
      </c>
      <c r="U1" s="1" t="inlineStr">
        <is>
          <t>BAI €</t>
        </is>
      </c>
      <c r="V1" s="1" t="inlineStr">
        <is>
          <t>Caja acumulada €</t>
        </is>
      </c>
    </row>
    <row r="2">
      <c r="A2" t="inlineStr">
        <is>
          <t>Nov-26</t>
        </is>
      </c>
      <c r="B2" t="n">
        <v>4</v>
      </c>
      <c r="C2" t="n">
        <v>8</v>
      </c>
      <c r="D2" t="n">
        <v>3200</v>
      </c>
      <c r="E2" t="n">
        <v>0</v>
      </c>
      <c r="F2" t="n">
        <v>3200</v>
      </c>
      <c r="G2" t="n">
        <v>6400</v>
      </c>
      <c r="H2" t="n">
        <v>320</v>
      </c>
      <c r="I2" t="n">
        <v>29</v>
      </c>
      <c r="J2" t="inlineStr">
        <is>
          <t>No elegible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>
        <f>K2+L2+M2+N2+O2</f>
        <v/>
      </c>
      <c r="Q2" t="n">
        <v>60</v>
      </c>
      <c r="R2" t="n">
        <v>60</v>
      </c>
      <c r="S2" t="n">
        <v>100</v>
      </c>
      <c r="T2">
        <f>Q2+R2+S2</f>
        <v/>
      </c>
      <c r="U2">
        <f>P2-T2</f>
        <v/>
      </c>
      <c r="V2">
        <f>U2</f>
        <v/>
      </c>
    </row>
    <row r="3">
      <c r="A3" t="inlineStr">
        <is>
          <t>Dic-26</t>
        </is>
      </c>
      <c r="B3" t="n">
        <v>4</v>
      </c>
      <c r="C3" t="n">
        <v>8</v>
      </c>
      <c r="D3" t="n">
        <v>4093</v>
      </c>
      <c r="E3" t="n">
        <v>800</v>
      </c>
      <c r="F3" t="n">
        <v>4893</v>
      </c>
      <c r="G3" t="n">
        <v>9600</v>
      </c>
      <c r="H3" t="n">
        <v>809</v>
      </c>
      <c r="I3" t="n">
        <v>73</v>
      </c>
      <c r="J3" t="inlineStr">
        <is>
          <t>No elegible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>
        <f>K3+L3+M3+N3+O3</f>
        <v/>
      </c>
      <c r="Q3" t="n">
        <v>60</v>
      </c>
      <c r="R3" t="n">
        <v>60</v>
      </c>
      <c r="S3" t="n">
        <v>10</v>
      </c>
      <c r="T3">
        <f>Q3+R3+S3</f>
        <v/>
      </c>
      <c r="U3">
        <f>P3-T3</f>
        <v/>
      </c>
      <c r="V3">
        <f>V2+U3</f>
        <v/>
      </c>
    </row>
    <row r="4">
      <c r="A4" t="inlineStr">
        <is>
          <t>Ene-27</t>
        </is>
      </c>
      <c r="B4" t="n">
        <v>4</v>
      </c>
      <c r="C4" t="n">
        <v>8</v>
      </c>
      <c r="D4" t="n">
        <v>5236</v>
      </c>
      <c r="E4" t="n">
        <v>1791</v>
      </c>
      <c r="F4" t="n">
        <v>7027</v>
      </c>
      <c r="G4" t="n">
        <v>12800</v>
      </c>
      <c r="H4" t="n">
        <v>1512</v>
      </c>
      <c r="I4" t="n">
        <v>135</v>
      </c>
      <c r="J4" t="inlineStr">
        <is>
          <t>No elegible</t>
        </is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>
        <f>K4+L4+M4+N4+O4</f>
        <v/>
      </c>
      <c r="Q4" t="n">
        <v>60</v>
      </c>
      <c r="R4" t="n">
        <v>60</v>
      </c>
      <c r="S4" t="n">
        <v>10</v>
      </c>
      <c r="T4">
        <f>Q4+R4+S4</f>
        <v/>
      </c>
      <c r="U4">
        <f>P4-T4</f>
        <v/>
      </c>
      <c r="V4">
        <f>V3+U4</f>
        <v/>
      </c>
    </row>
    <row r="5">
      <c r="A5" t="inlineStr">
        <is>
          <t>Feb-27</t>
        </is>
      </c>
      <c r="B5" t="n">
        <v>5</v>
      </c>
      <c r="C5" t="n">
        <v>10</v>
      </c>
      <c r="D5" t="n">
        <v>8372</v>
      </c>
      <c r="E5" t="n">
        <v>3029</v>
      </c>
      <c r="F5" t="n">
        <v>11400</v>
      </c>
      <c r="G5" t="n">
        <v>20000</v>
      </c>
      <c r="H5" t="n">
        <v>2652</v>
      </c>
      <c r="I5" t="n">
        <v>237</v>
      </c>
      <c r="J5" t="inlineStr">
        <is>
          <t>No elegible</t>
        </is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>
        <f>K5+L5+M5+N5+O5</f>
        <v/>
      </c>
      <c r="Q5" t="n">
        <v>90</v>
      </c>
      <c r="R5" t="n">
        <v>75</v>
      </c>
      <c r="S5" t="n">
        <v>10</v>
      </c>
      <c r="T5">
        <f>Q5+R5+S5</f>
        <v/>
      </c>
      <c r="U5">
        <f>P5-T5</f>
        <v/>
      </c>
      <c r="V5">
        <f>V4+U5</f>
        <v/>
      </c>
    </row>
    <row r="6">
      <c r="A6" t="inlineStr">
        <is>
          <t>Mar-27</t>
        </is>
      </c>
      <c r="B6" t="n">
        <v>5</v>
      </c>
      <c r="C6" t="n">
        <v>10</v>
      </c>
      <c r="D6" t="n">
        <v>10709</v>
      </c>
      <c r="E6" t="n">
        <v>5000</v>
      </c>
      <c r="F6" t="n">
        <v>15709</v>
      </c>
      <c r="G6" t="n">
        <v>25000</v>
      </c>
      <c r="H6" t="n">
        <v>4223</v>
      </c>
      <c r="I6" t="n">
        <v>375</v>
      </c>
      <c r="J6" t="inlineStr">
        <is>
          <t>No elegible</t>
        </is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>
        <f>K6+L6+M6+N6+O6</f>
        <v/>
      </c>
      <c r="Q6" t="n">
        <v>90</v>
      </c>
      <c r="R6" t="n">
        <v>825</v>
      </c>
      <c r="S6" t="n">
        <v>10</v>
      </c>
      <c r="T6">
        <f>Q6+R6+S6</f>
        <v/>
      </c>
      <c r="U6">
        <f>P6-T6</f>
        <v/>
      </c>
      <c r="V6">
        <f>V5+U6</f>
        <v/>
      </c>
    </row>
    <row r="7">
      <c r="A7" t="inlineStr">
        <is>
          <t>Abr-27</t>
        </is>
      </c>
      <c r="B7" t="n">
        <v>5</v>
      </c>
      <c r="C7" t="n">
        <v>10</v>
      </c>
      <c r="D7" t="n">
        <v>13698</v>
      </c>
      <c r="E7" t="n">
        <v>7478</v>
      </c>
      <c r="F7" t="n">
        <v>21175</v>
      </c>
      <c r="G7" t="n">
        <v>30000</v>
      </c>
      <c r="H7" t="n">
        <v>6340</v>
      </c>
      <c r="I7" t="n">
        <v>559</v>
      </c>
      <c r="J7" t="inlineStr">
        <is>
          <t>No elegible</t>
        </is>
      </c>
      <c r="K7" t="n">
        <v>0</v>
      </c>
      <c r="L7" t="n">
        <v>6</v>
      </c>
      <c r="M7" t="n">
        <v>0</v>
      </c>
      <c r="N7" t="n">
        <v>0</v>
      </c>
      <c r="O7" t="n">
        <v>0</v>
      </c>
      <c r="P7">
        <f>K7+L7+M7+N7+O7</f>
        <v/>
      </c>
      <c r="Q7" t="n">
        <v>90</v>
      </c>
      <c r="R7" t="n">
        <v>825</v>
      </c>
      <c r="S7" t="n">
        <v>10</v>
      </c>
      <c r="T7">
        <f>Q7+R7+S7</f>
        <v/>
      </c>
      <c r="U7">
        <f>P7-T7</f>
        <v/>
      </c>
      <c r="V7">
        <f>V6+U7</f>
        <v/>
      </c>
    </row>
    <row r="8">
      <c r="A8" t="inlineStr">
        <is>
          <t>May-27</t>
        </is>
      </c>
      <c r="B8" t="n">
        <v>6</v>
      </c>
      <c r="C8" t="n">
        <v>12</v>
      </c>
      <c r="D8" t="n">
        <v>21025</v>
      </c>
      <c r="E8" t="n">
        <v>10603</v>
      </c>
      <c r="F8" t="n">
        <v>31628</v>
      </c>
      <c r="G8" t="n">
        <v>42000</v>
      </c>
      <c r="H8" t="n">
        <v>9503</v>
      </c>
      <c r="I8" t="n">
        <v>833</v>
      </c>
      <c r="J8" t="inlineStr">
        <is>
          <t>No elegible</t>
        </is>
      </c>
      <c r="K8" t="n">
        <v>0</v>
      </c>
      <c r="L8" t="n">
        <v>9</v>
      </c>
      <c r="M8" t="n">
        <v>0</v>
      </c>
      <c r="N8" t="n">
        <v>0</v>
      </c>
      <c r="O8" t="n">
        <v>0</v>
      </c>
      <c r="P8">
        <f>K8+L8+M8+N8+O8</f>
        <v/>
      </c>
      <c r="Q8" t="n">
        <v>130</v>
      </c>
      <c r="R8" t="n">
        <v>990</v>
      </c>
      <c r="S8" t="n">
        <v>150</v>
      </c>
      <c r="T8">
        <f>Q8+R8+S8</f>
        <v/>
      </c>
      <c r="U8">
        <f>P8-T8</f>
        <v/>
      </c>
      <c r="V8">
        <f>V7+U8</f>
        <v/>
      </c>
    </row>
    <row r="9">
      <c r="A9" t="inlineStr">
        <is>
          <t>Jun-27</t>
        </is>
      </c>
      <c r="B9" t="n">
        <v>6</v>
      </c>
      <c r="C9" t="n">
        <v>12</v>
      </c>
      <c r="D9" t="n">
        <v>26894</v>
      </c>
      <c r="E9" t="n">
        <v>15435</v>
      </c>
      <c r="F9" t="n">
        <v>42330</v>
      </c>
      <c r="G9" t="n">
        <v>48000</v>
      </c>
      <c r="H9" t="n">
        <v>13736</v>
      </c>
      <c r="I9" t="n">
        <v>1196</v>
      </c>
      <c r="J9" t="inlineStr">
        <is>
          <t>Elegible-revisión</t>
        </is>
      </c>
      <c r="K9" t="n">
        <v>0</v>
      </c>
      <c r="L9" t="n">
        <v>13</v>
      </c>
      <c r="M9" t="n">
        <v>54</v>
      </c>
      <c r="N9" t="n">
        <v>0</v>
      </c>
      <c r="O9" t="n">
        <v>0</v>
      </c>
      <c r="P9">
        <f>K9+L9+M9+N9+O9</f>
        <v/>
      </c>
      <c r="Q9" t="n">
        <v>130</v>
      </c>
      <c r="R9" t="n">
        <v>990</v>
      </c>
      <c r="S9" t="n">
        <v>150</v>
      </c>
      <c r="T9">
        <f>Q9+R9+S9</f>
        <v/>
      </c>
      <c r="U9">
        <f>P9-T9</f>
        <v/>
      </c>
      <c r="V9">
        <f>V8+U9</f>
        <v/>
      </c>
    </row>
    <row r="10">
      <c r="A10" t="inlineStr">
        <is>
          <t>Jul-27</t>
        </is>
      </c>
      <c r="B10" t="n">
        <v>6</v>
      </c>
      <c r="C10" t="n">
        <v>12</v>
      </c>
      <c r="D10" t="n">
        <v>34402</v>
      </c>
      <c r="E10" t="n">
        <v>21541</v>
      </c>
      <c r="F10" t="n">
        <v>55943</v>
      </c>
      <c r="G10" t="n">
        <v>54000</v>
      </c>
      <c r="H10" t="n">
        <v>19331</v>
      </c>
      <c r="I10" t="n">
        <v>1670</v>
      </c>
      <c r="J10" t="inlineStr">
        <is>
          <t>Monetizado</t>
        </is>
      </c>
      <c r="K10" t="n">
        <v>140</v>
      </c>
      <c r="L10" t="n">
        <v>17</v>
      </c>
      <c r="M10" t="n">
        <v>69</v>
      </c>
      <c r="N10" t="n">
        <v>0</v>
      </c>
      <c r="O10" t="n">
        <v>0</v>
      </c>
      <c r="P10">
        <f>K10+L10+M10+N10+O10</f>
        <v/>
      </c>
      <c r="Q10" t="n">
        <v>130</v>
      </c>
      <c r="R10" t="n">
        <v>990</v>
      </c>
      <c r="S10" t="n">
        <v>150</v>
      </c>
      <c r="T10">
        <f>Q10+R10+S10</f>
        <v/>
      </c>
      <c r="U10">
        <f>P10-T10</f>
        <v/>
      </c>
      <c r="V10">
        <f>V9+U10</f>
        <v/>
      </c>
    </row>
    <row r="11">
      <c r="A11" t="inlineStr">
        <is>
          <t>Ago-27</t>
        </is>
      </c>
      <c r="B11" t="n">
        <v>6</v>
      </c>
      <c r="C11" t="n">
        <v>12</v>
      </c>
      <c r="D11" t="n">
        <v>44005</v>
      </c>
      <c r="E11" t="n">
        <v>29280</v>
      </c>
      <c r="F11" t="n">
        <v>73285</v>
      </c>
      <c r="G11" t="n">
        <v>60000</v>
      </c>
      <c r="H11" t="n">
        <v>26659</v>
      </c>
      <c r="I11" t="n">
        <v>2287</v>
      </c>
      <c r="J11" t="inlineStr">
        <is>
          <t>Monetizado</t>
        </is>
      </c>
      <c r="K11" t="n">
        <v>183</v>
      </c>
      <c r="L11" t="n">
        <v>22</v>
      </c>
      <c r="M11" t="n">
        <v>88</v>
      </c>
      <c r="N11" t="n">
        <v>0</v>
      </c>
      <c r="O11" t="n">
        <v>0</v>
      </c>
      <c r="P11">
        <f>K11+L11+M11+N11+O11</f>
        <v/>
      </c>
      <c r="Q11" t="n">
        <v>130</v>
      </c>
      <c r="R11" t="n">
        <v>990</v>
      </c>
      <c r="S11" t="n">
        <v>150</v>
      </c>
      <c r="T11">
        <f>Q11+R11+S11</f>
        <v/>
      </c>
      <c r="U11">
        <f>P11-T11</f>
        <v/>
      </c>
      <c r="V11">
        <f>V10+U11</f>
        <v/>
      </c>
    </row>
    <row r="12">
      <c r="A12" t="inlineStr">
        <is>
          <t>Sep-27</t>
        </is>
      </c>
      <c r="B12" t="n">
        <v>6</v>
      </c>
      <c r="C12" t="n">
        <v>12</v>
      </c>
      <c r="D12" t="n">
        <v>56288</v>
      </c>
      <c r="E12" t="n">
        <v>39110</v>
      </c>
      <c r="F12" t="n">
        <v>95398</v>
      </c>
      <c r="G12" t="n">
        <v>66000</v>
      </c>
      <c r="H12" t="n">
        <v>36199</v>
      </c>
      <c r="I12" t="n">
        <v>3083</v>
      </c>
      <c r="J12" t="inlineStr">
        <is>
          <t>Monetizado</t>
        </is>
      </c>
      <c r="K12" t="n">
        <v>238</v>
      </c>
      <c r="L12" t="n">
        <v>29</v>
      </c>
      <c r="M12" t="n">
        <v>113</v>
      </c>
      <c r="N12" t="n">
        <v>0</v>
      </c>
      <c r="O12" t="n">
        <v>0</v>
      </c>
      <c r="P12">
        <f>K12+L12+M12+N12+O12</f>
        <v/>
      </c>
      <c r="Q12" t="n">
        <v>130</v>
      </c>
      <c r="R12" t="n">
        <v>990</v>
      </c>
      <c r="S12" t="n">
        <v>150</v>
      </c>
      <c r="T12">
        <f>Q12+R12+S12</f>
        <v/>
      </c>
      <c r="U12">
        <f>P12-T12</f>
        <v/>
      </c>
      <c r="V12">
        <f>V11+U12</f>
        <v/>
      </c>
    </row>
    <row r="13">
      <c r="A13" t="inlineStr">
        <is>
          <t>Oct-27</t>
        </is>
      </c>
      <c r="B13" t="n">
        <v>6</v>
      </c>
      <c r="C13" t="n">
        <v>12</v>
      </c>
      <c r="D13" t="n">
        <v>72000</v>
      </c>
      <c r="E13" t="n">
        <v>51618</v>
      </c>
      <c r="F13" t="n">
        <v>123618</v>
      </c>
      <c r="G13" t="n">
        <v>72000</v>
      </c>
      <c r="H13" t="n">
        <v>48561</v>
      </c>
      <c r="I13" t="n">
        <v>4108</v>
      </c>
      <c r="J13" t="inlineStr">
        <is>
          <t>Monetizado</t>
        </is>
      </c>
      <c r="K13" t="n">
        <v>309</v>
      </c>
      <c r="L13" t="n">
        <v>37</v>
      </c>
      <c r="M13" t="n">
        <v>144</v>
      </c>
      <c r="N13" t="n">
        <v>0</v>
      </c>
      <c r="O13" t="n">
        <v>0</v>
      </c>
      <c r="P13">
        <f>K13+L13+M13+N13+O13</f>
        <v/>
      </c>
      <c r="Q13" t="n">
        <v>130</v>
      </c>
      <c r="R13" t="n">
        <v>990</v>
      </c>
      <c r="S13" t="n">
        <v>150</v>
      </c>
      <c r="T13">
        <f>Q13+R13+S13</f>
        <v/>
      </c>
      <c r="U13">
        <f>P13-T13</f>
        <v/>
      </c>
      <c r="V13">
        <f>V12+U13</f>
        <v/>
      </c>
    </row>
    <row r="15">
      <c r="A15" t="inlineStr">
        <is>
          <t>Hipótesis</t>
        </is>
      </c>
    </row>
    <row r="16">
      <c r="A16" t="inlineStr">
        <is>
          <t>nombre</t>
        </is>
      </c>
      <c r="B16" t="inlineStr">
        <is>
          <t>Base</t>
        </is>
      </c>
    </row>
    <row r="17">
      <c r="A17" t="inlineStr">
        <is>
          <t>videos</t>
        </is>
      </c>
      <c r="B17" t="inlineStr">
        <is>
          <t>[4, 4, 4, 5, 5, 5, 6, 6, 6, 6, 6, 6]</t>
        </is>
      </c>
    </row>
    <row r="18">
      <c r="A18" t="inlineStr">
        <is>
          <t>shorts</t>
        </is>
      </c>
      <c r="B18" t="inlineStr">
        <is>
          <t>[8, 8, 8, 10, 10, 10, 12, 12, 12, 12, 12, 12]</t>
        </is>
      </c>
    </row>
    <row r="19">
      <c r="A19" t="inlineStr">
        <is>
          <t>v_inicial</t>
        </is>
      </c>
      <c r="B19" t="inlineStr">
        <is>
          <t>800</t>
        </is>
      </c>
    </row>
    <row r="20">
      <c r="A20" t="inlineStr">
        <is>
          <t>v_final</t>
        </is>
      </c>
      <c r="B20" t="inlineStr">
        <is>
          <t>12000</t>
        </is>
      </c>
    </row>
    <row r="21">
      <c r="A21" t="inlineStr">
        <is>
          <t>cola</t>
        </is>
      </c>
      <c r="B21" t="inlineStr">
        <is>
          <t>0.25</t>
        </is>
      </c>
    </row>
    <row r="22">
      <c r="A22" t="inlineStr">
        <is>
          <t>decaimiento</t>
        </is>
      </c>
      <c r="B22" t="inlineStr">
        <is>
          <t>0.96</t>
        </is>
      </c>
    </row>
    <row r="23">
      <c r="A23" t="inlineStr">
        <is>
          <t>vistas_short</t>
        </is>
      </c>
      <c r="B23" t="inlineStr">
        <is>
          <t>[800, 1200, 1600, 2000, 2500, 3000, 3500, 4000, 4500, 5000, 5500, 6000]</t>
        </is>
      </c>
    </row>
    <row r="24">
      <c r="A24" t="inlineStr">
        <is>
          <t>avd_min</t>
        </is>
      </c>
      <c r="B24" t="inlineStr">
        <is>
          <t>6.0</t>
        </is>
      </c>
    </row>
    <row r="25">
      <c r="A25" t="inlineStr">
        <is>
          <t>subs_por_mil</t>
        </is>
      </c>
      <c r="B25" t="inlineStr">
        <is>
          <t>8</t>
        </is>
      </c>
    </row>
    <row r="26">
      <c r="A26" t="inlineStr">
        <is>
          <t>subs_por_mil_short</t>
        </is>
      </c>
      <c r="B26" t="inlineStr">
        <is>
          <t>0.5</t>
        </is>
      </c>
    </row>
    <row r="27">
      <c r="A27" t="inlineStr">
        <is>
          <t>umbral_horas</t>
        </is>
      </c>
      <c r="B27" t="inlineStr">
        <is>
          <t>8000</t>
        </is>
      </c>
    </row>
    <row r="28">
      <c r="A28" t="inlineStr">
        <is>
          <t>umbral_subs</t>
        </is>
      </c>
      <c r="B28" t="inlineStr">
        <is>
          <t>1000</t>
        </is>
      </c>
    </row>
    <row r="29">
      <c r="A29" t="inlineStr">
        <is>
          <t>retraso_revision</t>
        </is>
      </c>
      <c r="B29" t="inlineStr">
        <is>
          <t>1</t>
        </is>
      </c>
    </row>
    <row r="30">
      <c r="A30" t="inlineStr">
        <is>
          <t>rpm</t>
        </is>
      </c>
      <c r="B30" t="inlineStr">
        <is>
          <t>2.5</t>
        </is>
      </c>
    </row>
    <row r="31">
      <c r="A31" t="inlineStr">
        <is>
          <t>afil_por_mil</t>
        </is>
      </c>
      <c r="B31" t="inlineStr">
        <is>
          <t>0.3</t>
        </is>
      </c>
    </row>
    <row r="32">
      <c r="A32" t="inlineStr">
        <is>
          <t>afil_desde</t>
        </is>
      </c>
      <c r="B32" t="inlineStr">
        <is>
          <t>3</t>
        </is>
      </c>
    </row>
    <row r="33">
      <c r="A33" t="inlineStr">
        <is>
          <t>patro_desde</t>
        </is>
      </c>
      <c r="B33" t="inlineStr">
        <is>
          <t>8</t>
        </is>
      </c>
    </row>
    <row r="34">
      <c r="A34" t="inlineStr">
        <is>
          <t>patro_cpm</t>
        </is>
      </c>
      <c r="B34" t="inlineStr">
        <is>
          <t>12</t>
        </is>
      </c>
    </row>
    <row r="35">
      <c r="A35" t="inlineStr">
        <is>
          <t>patro_por_mes</t>
        </is>
      </c>
      <c r="B35" t="inlineStr">
        <is>
          <t>[1, 1, 1, 1, 1, 1, 1, 1, 1, 1, 1, 1]</t>
        </is>
      </c>
    </row>
    <row r="36">
      <c r="A36" t="inlineStr">
        <is>
          <t>prod_desde</t>
        </is>
      </c>
      <c r="B36" t="inlineStr">
        <is>
          <t>13</t>
        </is>
      </c>
    </row>
    <row r="37">
      <c r="A37" t="inlineStr">
        <is>
          <t>prod_conv</t>
        </is>
      </c>
      <c r="B37" t="inlineStr">
        <is>
          <t>0</t>
        </is>
      </c>
    </row>
    <row r="38">
      <c r="A38" t="inlineStr">
        <is>
          <t>prod_precio</t>
        </is>
      </c>
      <c r="B38" t="inlineStr">
        <is>
          <t>0</t>
        </is>
      </c>
    </row>
    <row r="39">
      <c r="A39" t="inlineStr">
        <is>
          <t>servicios</t>
        </is>
      </c>
      <c r="B39" t="inlineStr">
        <is>
          <t>[0, 0, 0, 0, 0, 0, 0, 0, 0, 0, 0, 0]</t>
        </is>
      </c>
    </row>
    <row r="40">
      <c r="A40" t="inlineStr">
        <is>
          <t>herramientas</t>
        </is>
      </c>
      <c r="B40" t="inlineStr">
        <is>
          <t>[60, 60, 60, 90, 90, 90, 130, 130, 130, 130, 130, 130]</t>
        </is>
      </c>
    </row>
    <row r="41">
      <c r="A41" t="inlineStr">
        <is>
          <t>edicion_por_video</t>
        </is>
      </c>
      <c r="B41" t="inlineStr">
        <is>
          <t>[0, 0, 0, 0, 150, 150, 150, 150, 150, 150, 150, 150]</t>
        </is>
      </c>
    </row>
    <row r="42">
      <c r="A42" t="inlineStr">
        <is>
          <t>guion_por_video</t>
        </is>
      </c>
      <c r="B42" t="inlineStr">
        <is>
          <t>[15, 15, 15, 15, 15, 15, 15, 15, 15, 15, 15, 15]</t>
        </is>
      </c>
    </row>
    <row r="43">
      <c r="A43" t="inlineStr">
        <is>
          <t>otros</t>
        </is>
      </c>
      <c r="B43" t="inlineStr">
        <is>
          <t>[100, 10, 10, 10, 10, 10, 150, 150, 150, 150, 150, 150]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Vídeos largos</t>
        </is>
      </c>
      <c r="C1" s="1" t="inlineStr">
        <is>
          <t>Shorts</t>
        </is>
      </c>
      <c r="D1" s="1" t="inlineStr">
        <is>
          <t>Vistas vídeos nuevos</t>
        </is>
      </c>
      <c r="E1" s="1" t="inlineStr">
        <is>
          <t>Vistas catálogo</t>
        </is>
      </c>
      <c r="F1" s="1" t="inlineStr">
        <is>
          <t>Vistas largos total</t>
        </is>
      </c>
      <c r="G1" s="1" t="inlineStr">
        <is>
          <t>Vistas Shorts</t>
        </is>
      </c>
      <c r="H1" s="1" t="inlineStr">
        <is>
          <t>Horas públicas 12m</t>
        </is>
      </c>
      <c r="I1" s="1" t="inlineStr">
        <is>
          <t>Suscriptores</t>
        </is>
      </c>
      <c r="J1" s="1" t="inlineStr">
        <is>
          <t>Estado YPP</t>
        </is>
      </c>
      <c r="K1" s="1" t="inlineStr">
        <is>
          <t>Anuncios €</t>
        </is>
      </c>
      <c r="L1" s="1" t="inlineStr">
        <is>
          <t>Afiliación €</t>
        </is>
      </c>
      <c r="M1" s="1" t="inlineStr">
        <is>
          <t>Patrocinio €</t>
        </is>
      </c>
      <c r="N1" s="1" t="inlineStr">
        <is>
          <t>Producto €</t>
        </is>
      </c>
      <c r="O1" s="1" t="inlineStr">
        <is>
          <t>Servicios €</t>
        </is>
      </c>
      <c r="P1" s="1" t="inlineStr">
        <is>
          <t>Ingresos €</t>
        </is>
      </c>
      <c r="Q1" s="1" t="inlineStr">
        <is>
          <t>Herramientas €</t>
        </is>
      </c>
      <c r="R1" s="1" t="inlineStr">
        <is>
          <t>Edición y licencias €</t>
        </is>
      </c>
      <c r="S1" s="1" t="inlineStr">
        <is>
          <t>Otros €</t>
        </is>
      </c>
      <c r="T1" s="1" t="inlineStr">
        <is>
          <t>Costes €</t>
        </is>
      </c>
      <c r="U1" s="1" t="inlineStr">
        <is>
          <t>BAI €</t>
        </is>
      </c>
      <c r="V1" s="1" t="inlineStr">
        <is>
          <t>Caja acumulada €</t>
        </is>
      </c>
    </row>
    <row r="2">
      <c r="A2" t="inlineStr">
        <is>
          <t>Nov-26</t>
        </is>
      </c>
      <c r="B2" t="n">
        <v>4</v>
      </c>
      <c r="C2" t="n">
        <v>8</v>
      </c>
      <c r="D2" t="n">
        <v>8000</v>
      </c>
      <c r="E2" t="n">
        <v>0</v>
      </c>
      <c r="F2" t="n">
        <v>8000</v>
      </c>
      <c r="G2" t="n">
        <v>16000</v>
      </c>
      <c r="H2" t="n">
        <v>933</v>
      </c>
      <c r="I2" t="n">
        <v>88</v>
      </c>
      <c r="J2" t="inlineStr">
        <is>
          <t>No elegible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>
        <f>K2+L2+M2+N2+O2</f>
        <v/>
      </c>
      <c r="Q2" t="n">
        <v>60</v>
      </c>
      <c r="R2" t="n">
        <v>60</v>
      </c>
      <c r="S2" t="n">
        <v>100</v>
      </c>
      <c r="T2">
        <f>Q2+R2+S2</f>
        <v/>
      </c>
      <c r="U2">
        <f>P2-T2</f>
        <v/>
      </c>
      <c r="V2">
        <f>U2</f>
        <v/>
      </c>
    </row>
    <row r="3">
      <c r="A3" t="inlineStr">
        <is>
          <t>Dic-26</t>
        </is>
      </c>
      <c r="B3" t="n">
        <v>5</v>
      </c>
      <c r="C3" t="n">
        <v>8</v>
      </c>
      <c r="D3" t="n">
        <v>13130</v>
      </c>
      <c r="E3" t="n">
        <v>2400</v>
      </c>
      <c r="F3" t="n">
        <v>15530</v>
      </c>
      <c r="G3" t="n">
        <v>24000</v>
      </c>
      <c r="H3" t="n">
        <v>2745</v>
      </c>
      <c r="I3" t="n">
        <v>255</v>
      </c>
      <c r="J3" t="inlineStr">
        <is>
          <t>No elegible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>
        <f>K3+L3+M3+N3+O3</f>
        <v/>
      </c>
      <c r="Q3" t="n">
        <v>60</v>
      </c>
      <c r="R3" t="n">
        <v>75</v>
      </c>
      <c r="S3" t="n">
        <v>10</v>
      </c>
      <c r="T3">
        <f>Q3+R3+S3</f>
        <v/>
      </c>
      <c r="U3">
        <f>P3-T3</f>
        <v/>
      </c>
      <c r="V3">
        <f>V2+U3</f>
        <v/>
      </c>
    </row>
    <row r="4">
      <c r="A4" t="inlineStr">
        <is>
          <t>Ene-27</t>
        </is>
      </c>
      <c r="B4" t="n">
        <v>6</v>
      </c>
      <c r="C4" t="n">
        <v>8</v>
      </c>
      <c r="D4" t="n">
        <v>20689</v>
      </c>
      <c r="E4" t="n">
        <v>6243</v>
      </c>
      <c r="F4" t="n">
        <v>26932</v>
      </c>
      <c r="G4" t="n">
        <v>32000</v>
      </c>
      <c r="H4" t="n">
        <v>5887</v>
      </c>
      <c r="I4" t="n">
        <v>541</v>
      </c>
      <c r="J4" t="inlineStr">
        <is>
          <t>No elegible</t>
        </is>
      </c>
      <c r="K4" t="n">
        <v>0</v>
      </c>
      <c r="L4" t="n">
        <v>13</v>
      </c>
      <c r="M4" t="n">
        <v>0</v>
      </c>
      <c r="N4" t="n">
        <v>0</v>
      </c>
      <c r="O4" t="n">
        <v>0</v>
      </c>
      <c r="P4">
        <f>K4+L4+M4+N4+O4</f>
        <v/>
      </c>
      <c r="Q4" t="n">
        <v>60</v>
      </c>
      <c r="R4" t="n">
        <v>1170</v>
      </c>
      <c r="S4" t="n">
        <v>10</v>
      </c>
      <c r="T4">
        <f>Q4+R4+S4</f>
        <v/>
      </c>
      <c r="U4">
        <f>P4-T4</f>
        <v/>
      </c>
      <c r="V4">
        <f>V3+U4</f>
        <v/>
      </c>
    </row>
    <row r="5">
      <c r="A5" t="inlineStr">
        <is>
          <t>Feb-27</t>
        </is>
      </c>
      <c r="B5" t="n">
        <v>6</v>
      </c>
      <c r="C5" t="n">
        <v>10</v>
      </c>
      <c r="D5" t="n">
        <v>27165</v>
      </c>
      <c r="E5" t="n">
        <v>12200</v>
      </c>
      <c r="F5" t="n">
        <v>39365</v>
      </c>
      <c r="G5" t="n">
        <v>50000</v>
      </c>
      <c r="H5" t="n">
        <v>10480</v>
      </c>
      <c r="I5" t="n">
        <v>959</v>
      </c>
      <c r="J5" t="inlineStr">
        <is>
          <t>No elegible</t>
        </is>
      </c>
      <c r="K5" t="n">
        <v>0</v>
      </c>
      <c r="L5" t="n">
        <v>20</v>
      </c>
      <c r="M5" t="n">
        <v>0</v>
      </c>
      <c r="N5" t="n">
        <v>0</v>
      </c>
      <c r="O5" t="n">
        <v>0</v>
      </c>
      <c r="P5">
        <f>K5+L5+M5+N5+O5</f>
        <v/>
      </c>
      <c r="Q5" t="n">
        <v>90</v>
      </c>
      <c r="R5" t="n">
        <v>1170</v>
      </c>
      <c r="S5" t="n">
        <v>150</v>
      </c>
      <c r="T5">
        <f>Q5+R5+S5</f>
        <v/>
      </c>
      <c r="U5">
        <f>P5-T5</f>
        <v/>
      </c>
      <c r="V5">
        <f>V4+U5</f>
        <v/>
      </c>
    </row>
    <row r="6">
      <c r="A6" t="inlineStr">
        <is>
          <t>Mar-27</t>
        </is>
      </c>
      <c r="B6" t="n">
        <v>6</v>
      </c>
      <c r="C6" t="n">
        <v>10</v>
      </c>
      <c r="D6" t="n">
        <v>35668</v>
      </c>
      <c r="E6" t="n">
        <v>19861</v>
      </c>
      <c r="F6" t="n">
        <v>55530</v>
      </c>
      <c r="G6" t="n">
        <v>60000</v>
      </c>
      <c r="H6" t="n">
        <v>16958</v>
      </c>
      <c r="I6" t="n">
        <v>1545</v>
      </c>
      <c r="J6" t="inlineStr">
        <is>
          <t>Elegible-revisión</t>
        </is>
      </c>
      <c r="K6" t="n">
        <v>0</v>
      </c>
      <c r="L6" t="n">
        <v>28</v>
      </c>
      <c r="M6" t="n">
        <v>89</v>
      </c>
      <c r="N6" t="n">
        <v>0</v>
      </c>
      <c r="O6" t="n">
        <v>0</v>
      </c>
      <c r="P6">
        <f>K6+L6+M6+N6+O6</f>
        <v/>
      </c>
      <c r="Q6" t="n">
        <v>90</v>
      </c>
      <c r="R6" t="n">
        <v>1170</v>
      </c>
      <c r="S6" t="n">
        <v>150</v>
      </c>
      <c r="T6">
        <f>Q6+R6+S6</f>
        <v/>
      </c>
      <c r="U6">
        <f>P6-T6</f>
        <v/>
      </c>
      <c r="V6">
        <f>V5+U6</f>
        <v/>
      </c>
    </row>
    <row r="7">
      <c r="A7" t="inlineStr">
        <is>
          <t>Abr-27</t>
        </is>
      </c>
      <c r="B7" t="n">
        <v>8</v>
      </c>
      <c r="C7" t="n">
        <v>10</v>
      </c>
      <c r="D7" t="n">
        <v>62445</v>
      </c>
      <c r="E7" t="n">
        <v>29767</v>
      </c>
      <c r="F7" t="n">
        <v>92212</v>
      </c>
      <c r="G7" t="n">
        <v>70000</v>
      </c>
      <c r="H7" t="n">
        <v>27716</v>
      </c>
      <c r="I7" t="n">
        <v>2502</v>
      </c>
      <c r="J7" t="inlineStr">
        <is>
          <t>Monetizado</t>
        </is>
      </c>
      <c r="K7" t="n">
        <v>323</v>
      </c>
      <c r="L7" t="n">
        <v>46</v>
      </c>
      <c r="M7" t="n">
        <v>117</v>
      </c>
      <c r="N7" t="n">
        <v>0</v>
      </c>
      <c r="O7" t="n">
        <v>0</v>
      </c>
      <c r="P7">
        <f>K7+L7+M7+N7+O7</f>
        <v/>
      </c>
      <c r="Q7" t="n">
        <v>90</v>
      </c>
      <c r="R7" t="n">
        <v>2040</v>
      </c>
      <c r="S7" t="n">
        <v>150</v>
      </c>
      <c r="T7">
        <f>Q7+R7+S7</f>
        <v/>
      </c>
      <c r="U7">
        <f>P7-T7</f>
        <v/>
      </c>
      <c r="V7">
        <f>V6+U7</f>
        <v/>
      </c>
    </row>
    <row r="8">
      <c r="A8" t="inlineStr">
        <is>
          <t>May-27</t>
        </is>
      </c>
      <c r="B8" t="n">
        <v>8</v>
      </c>
      <c r="C8" t="n">
        <v>12</v>
      </c>
      <c r="D8" t="n">
        <v>81992</v>
      </c>
      <c r="E8" t="n">
        <v>47310</v>
      </c>
      <c r="F8" t="n">
        <v>129302</v>
      </c>
      <c r="G8" t="n">
        <v>96000</v>
      </c>
      <c r="H8" t="n">
        <v>42802</v>
      </c>
      <c r="I8" t="n">
        <v>3843</v>
      </c>
      <c r="J8" t="inlineStr">
        <is>
          <t>Monetizado</t>
        </is>
      </c>
      <c r="K8" t="n">
        <v>453</v>
      </c>
      <c r="L8" t="n">
        <v>65</v>
      </c>
      <c r="M8" t="n">
        <v>307</v>
      </c>
      <c r="N8" t="n">
        <v>0</v>
      </c>
      <c r="O8" t="n">
        <v>0</v>
      </c>
      <c r="P8">
        <f>K8+L8+M8+N8+O8</f>
        <v/>
      </c>
      <c r="Q8" t="n">
        <v>130</v>
      </c>
      <c r="R8" t="n">
        <v>2040</v>
      </c>
      <c r="S8" t="n">
        <v>150</v>
      </c>
      <c r="T8">
        <f>Q8+R8+S8</f>
        <v/>
      </c>
      <c r="U8">
        <f>P8-T8</f>
        <v/>
      </c>
      <c r="V8">
        <f>V7+U8</f>
        <v/>
      </c>
    </row>
    <row r="9">
      <c r="A9" t="inlineStr">
        <is>
          <t>Jun-27</t>
        </is>
      </c>
      <c r="B9" t="n">
        <v>8</v>
      </c>
      <c r="C9" t="n">
        <v>12</v>
      </c>
      <c r="D9" t="n">
        <v>107658</v>
      </c>
      <c r="E9" t="n">
        <v>70016</v>
      </c>
      <c r="F9" t="n">
        <v>177674</v>
      </c>
      <c r="G9" t="n">
        <v>108000</v>
      </c>
      <c r="H9" t="n">
        <v>63530</v>
      </c>
      <c r="I9" t="n">
        <v>5673</v>
      </c>
      <c r="J9" t="inlineStr">
        <is>
          <t>Monetizado</t>
        </is>
      </c>
      <c r="K9" t="n">
        <v>622</v>
      </c>
      <c r="L9" t="n">
        <v>89</v>
      </c>
      <c r="M9" t="n">
        <v>404</v>
      </c>
      <c r="N9" t="n">
        <v>0</v>
      </c>
      <c r="O9" t="n">
        <v>0</v>
      </c>
      <c r="P9">
        <f>K9+L9+M9+N9+O9</f>
        <v/>
      </c>
      <c r="Q9" t="n">
        <v>130</v>
      </c>
      <c r="R9" t="n">
        <v>2040</v>
      </c>
      <c r="S9" t="n">
        <v>150</v>
      </c>
      <c r="T9">
        <f>Q9+R9+S9</f>
        <v/>
      </c>
      <c r="U9">
        <f>P9-T9</f>
        <v/>
      </c>
      <c r="V9">
        <f>V8+U9</f>
        <v/>
      </c>
    </row>
    <row r="10">
      <c r="A10" t="inlineStr">
        <is>
          <t>Jul-27</t>
        </is>
      </c>
      <c r="B10" t="n">
        <v>8</v>
      </c>
      <c r="C10" t="n">
        <v>12</v>
      </c>
      <c r="D10" t="n">
        <v>141359</v>
      </c>
      <c r="E10" t="n">
        <v>99512</v>
      </c>
      <c r="F10" t="n">
        <v>240871</v>
      </c>
      <c r="G10" t="n">
        <v>120000</v>
      </c>
      <c r="H10" t="n">
        <v>91632</v>
      </c>
      <c r="I10" t="n">
        <v>8142</v>
      </c>
      <c r="J10" t="inlineStr">
        <is>
          <t>Monetizado</t>
        </is>
      </c>
      <c r="K10" t="n">
        <v>843</v>
      </c>
      <c r="L10" t="n">
        <v>120</v>
      </c>
      <c r="M10" t="n">
        <v>530</v>
      </c>
      <c r="N10" t="n">
        <v>0</v>
      </c>
      <c r="O10" t="n">
        <v>0</v>
      </c>
      <c r="P10">
        <f>K10+L10+M10+N10+O10</f>
        <v/>
      </c>
      <c r="Q10" t="n">
        <v>130</v>
      </c>
      <c r="R10" t="n">
        <v>2040</v>
      </c>
      <c r="S10" t="n">
        <v>150</v>
      </c>
      <c r="T10">
        <f>Q10+R10+S10</f>
        <v/>
      </c>
      <c r="U10">
        <f>P10-T10</f>
        <v/>
      </c>
      <c r="V10">
        <f>V9+U10</f>
        <v/>
      </c>
    </row>
    <row r="11">
      <c r="A11" t="inlineStr">
        <is>
          <t>Ago-27</t>
        </is>
      </c>
      <c r="B11" t="n">
        <v>8</v>
      </c>
      <c r="C11" t="n">
        <v>12</v>
      </c>
      <c r="D11" t="n">
        <v>185609</v>
      </c>
      <c r="E11" t="n">
        <v>137940</v>
      </c>
      <c r="F11" t="n">
        <v>323549</v>
      </c>
      <c r="G11" t="n">
        <v>132000</v>
      </c>
      <c r="H11" t="n">
        <v>129379</v>
      </c>
      <c r="I11" t="n">
        <v>11444</v>
      </c>
      <c r="J11" t="inlineStr">
        <is>
          <t>Monetizado</t>
        </is>
      </c>
      <c r="K11" t="n">
        <v>1132</v>
      </c>
      <c r="L11" t="n">
        <v>162</v>
      </c>
      <c r="M11" t="n">
        <v>696</v>
      </c>
      <c r="N11" t="n">
        <v>0</v>
      </c>
      <c r="O11" t="n">
        <v>0</v>
      </c>
      <c r="P11">
        <f>K11+L11+M11+N11+O11</f>
        <v/>
      </c>
      <c r="Q11" t="n">
        <v>130</v>
      </c>
      <c r="R11" t="n">
        <v>2040</v>
      </c>
      <c r="S11" t="n">
        <v>150</v>
      </c>
      <c r="T11">
        <f>Q11+R11+S11</f>
        <v/>
      </c>
      <c r="U11">
        <f>P11-T11</f>
        <v/>
      </c>
      <c r="V11">
        <f>V10+U11</f>
        <v/>
      </c>
    </row>
    <row r="12">
      <c r="A12" t="inlineStr">
        <is>
          <t>Sep-27</t>
        </is>
      </c>
      <c r="B12" t="n">
        <v>8</v>
      </c>
      <c r="C12" t="n">
        <v>12</v>
      </c>
      <c r="D12" t="n">
        <v>243711</v>
      </c>
      <c r="E12" t="n">
        <v>188105</v>
      </c>
      <c r="F12" t="n">
        <v>431815</v>
      </c>
      <c r="G12" t="n">
        <v>144000</v>
      </c>
      <c r="H12" t="n">
        <v>179758</v>
      </c>
      <c r="I12" t="n">
        <v>15834</v>
      </c>
      <c r="J12" t="inlineStr">
        <is>
          <t>Monetizado</t>
        </is>
      </c>
      <c r="K12" t="n">
        <v>1511</v>
      </c>
      <c r="L12" t="n">
        <v>216</v>
      </c>
      <c r="M12" t="n">
        <v>914</v>
      </c>
      <c r="N12" t="n">
        <v>0</v>
      </c>
      <c r="O12" t="n">
        <v>0</v>
      </c>
      <c r="P12">
        <f>K12+L12+M12+N12+O12</f>
        <v/>
      </c>
      <c r="Q12" t="n">
        <v>130</v>
      </c>
      <c r="R12" t="n">
        <v>2040</v>
      </c>
      <c r="S12" t="n">
        <v>150</v>
      </c>
      <c r="T12">
        <f>Q12+R12+S12</f>
        <v/>
      </c>
      <c r="U12">
        <f>P12-T12</f>
        <v/>
      </c>
      <c r="V12">
        <f>V11+U12</f>
        <v/>
      </c>
    </row>
    <row r="13">
      <c r="A13" t="inlineStr">
        <is>
          <t>Oct-27</t>
        </is>
      </c>
      <c r="B13" t="n">
        <v>8</v>
      </c>
      <c r="C13" t="n">
        <v>12</v>
      </c>
      <c r="D13" t="n">
        <v>320000</v>
      </c>
      <c r="E13" t="n">
        <v>253694</v>
      </c>
      <c r="F13" t="n">
        <v>573694</v>
      </c>
      <c r="G13" t="n">
        <v>156000</v>
      </c>
      <c r="H13" t="n">
        <v>246689</v>
      </c>
      <c r="I13" t="n">
        <v>21649</v>
      </c>
      <c r="J13" t="inlineStr">
        <is>
          <t>Monetizado</t>
        </is>
      </c>
      <c r="K13" t="n">
        <v>2008</v>
      </c>
      <c r="L13" t="n">
        <v>287</v>
      </c>
      <c r="M13" t="n">
        <v>1200</v>
      </c>
      <c r="N13" t="n">
        <v>0</v>
      </c>
      <c r="O13" t="n">
        <v>0</v>
      </c>
      <c r="P13">
        <f>K13+L13+M13+N13+O13</f>
        <v/>
      </c>
      <c r="Q13" t="n">
        <v>130</v>
      </c>
      <c r="R13" t="n">
        <v>2040</v>
      </c>
      <c r="S13" t="n">
        <v>150</v>
      </c>
      <c r="T13">
        <f>Q13+R13+S13</f>
        <v/>
      </c>
      <c r="U13">
        <f>P13-T13</f>
        <v/>
      </c>
      <c r="V13">
        <f>V12+U13</f>
        <v/>
      </c>
    </row>
    <row r="15">
      <c r="A15" t="inlineStr">
        <is>
          <t>Hipótesis</t>
        </is>
      </c>
    </row>
    <row r="16">
      <c r="A16" t="inlineStr">
        <is>
          <t>nombre</t>
        </is>
      </c>
      <c r="B16" t="inlineStr">
        <is>
          <t>Optimista</t>
        </is>
      </c>
    </row>
    <row r="17">
      <c r="A17" t="inlineStr">
        <is>
          <t>videos</t>
        </is>
      </c>
      <c r="B17" t="inlineStr">
        <is>
          <t>[4, 5, 6, 6, 6, 8, 8, 8, 8, 8, 8, 8]</t>
        </is>
      </c>
    </row>
    <row r="18">
      <c r="A18" t="inlineStr">
        <is>
          <t>shorts</t>
        </is>
      </c>
      <c r="B18" t="inlineStr">
        <is>
          <t>[8, 8, 8, 10, 10, 10, 12, 12, 12, 12, 12, 12]</t>
        </is>
      </c>
    </row>
    <row r="19">
      <c r="A19" t="inlineStr">
        <is>
          <t>v_inicial</t>
        </is>
      </c>
      <c r="B19" t="inlineStr">
        <is>
          <t>2000</t>
        </is>
      </c>
    </row>
    <row r="20">
      <c r="A20" t="inlineStr">
        <is>
          <t>v_final</t>
        </is>
      </c>
      <c r="B20" t="inlineStr">
        <is>
          <t>40000</t>
        </is>
      </c>
    </row>
    <row r="21">
      <c r="A21" t="inlineStr">
        <is>
          <t>cola</t>
        </is>
      </c>
      <c r="B21" t="inlineStr">
        <is>
          <t>0.3</t>
        </is>
      </c>
    </row>
    <row r="22">
      <c r="A22" t="inlineStr">
        <is>
          <t>decaimiento</t>
        </is>
      </c>
      <c r="B22" t="inlineStr">
        <is>
          <t>0.96</t>
        </is>
      </c>
    </row>
    <row r="23">
      <c r="A23" t="inlineStr">
        <is>
          <t>vistas_short</t>
        </is>
      </c>
      <c r="B23" t="inlineStr">
        <is>
          <t>[2000, 3000, 4000, 5000, 6000, 7000, 8000, 9000, 10000, 11000, 12000, 13000]</t>
        </is>
      </c>
    </row>
    <row r="24">
      <c r="A24" t="inlineStr">
        <is>
          <t>avd_min</t>
        </is>
      </c>
      <c r="B24" t="inlineStr">
        <is>
          <t>7.0</t>
        </is>
      </c>
    </row>
    <row r="25">
      <c r="A25" t="inlineStr">
        <is>
          <t>subs_por_mil</t>
        </is>
      </c>
      <c r="B25" t="inlineStr">
        <is>
          <t>10</t>
        </is>
      </c>
    </row>
    <row r="26">
      <c r="A26" t="inlineStr">
        <is>
          <t>subs_por_mil_short</t>
        </is>
      </c>
      <c r="B26" t="inlineStr">
        <is>
          <t>0.5</t>
        </is>
      </c>
    </row>
    <row r="27">
      <c r="A27" t="inlineStr">
        <is>
          <t>umbral_horas</t>
        </is>
      </c>
      <c r="B27" t="inlineStr">
        <is>
          <t>8000</t>
        </is>
      </c>
    </row>
    <row r="28">
      <c r="A28" t="inlineStr">
        <is>
          <t>umbral_subs</t>
        </is>
      </c>
      <c r="B28" t="inlineStr">
        <is>
          <t>1000</t>
        </is>
      </c>
    </row>
    <row r="29">
      <c r="A29" t="inlineStr">
        <is>
          <t>retraso_revision</t>
        </is>
      </c>
      <c r="B29" t="inlineStr">
        <is>
          <t>1</t>
        </is>
      </c>
    </row>
    <row r="30">
      <c r="A30" t="inlineStr">
        <is>
          <t>rpm</t>
        </is>
      </c>
      <c r="B30" t="inlineStr">
        <is>
          <t>3.5</t>
        </is>
      </c>
    </row>
    <row r="31">
      <c r="A31" t="inlineStr">
        <is>
          <t>afil_por_mil</t>
        </is>
      </c>
      <c r="B31" t="inlineStr">
        <is>
          <t>0.5</t>
        </is>
      </c>
    </row>
    <row r="32">
      <c r="A32" t="inlineStr">
        <is>
          <t>afil_desde</t>
        </is>
      </c>
      <c r="B32" t="inlineStr">
        <is>
          <t>3</t>
        </is>
      </c>
    </row>
    <row r="33">
      <c r="A33" t="inlineStr">
        <is>
          <t>patro_desde</t>
        </is>
      </c>
      <c r="B33" t="inlineStr">
        <is>
          <t>5</t>
        </is>
      </c>
    </row>
    <row r="34">
      <c r="A34" t="inlineStr">
        <is>
          <t>patro_cpm</t>
        </is>
      </c>
      <c r="B34" t="inlineStr">
        <is>
          <t>15</t>
        </is>
      </c>
    </row>
    <row r="35">
      <c r="A35" t="inlineStr">
        <is>
          <t>patro_por_mes</t>
        </is>
      </c>
      <c r="B35" t="inlineStr">
        <is>
          <t>[1, 1, 1, 1, 1, 1, 2, 2, 2, 2, 2, 2]</t>
        </is>
      </c>
    </row>
    <row r="36">
      <c r="A36" t="inlineStr">
        <is>
          <t>prod_desde</t>
        </is>
      </c>
      <c r="B36" t="inlineStr">
        <is>
          <t>13</t>
        </is>
      </c>
    </row>
    <row r="37">
      <c r="A37" t="inlineStr">
        <is>
          <t>prod_conv</t>
        </is>
      </c>
      <c r="B37" t="inlineStr">
        <is>
          <t>0</t>
        </is>
      </c>
    </row>
    <row r="38">
      <c r="A38" t="inlineStr">
        <is>
          <t>prod_precio</t>
        </is>
      </c>
      <c r="B38" t="inlineStr">
        <is>
          <t>0</t>
        </is>
      </c>
    </row>
    <row r="39">
      <c r="A39" t="inlineStr">
        <is>
          <t>servicios</t>
        </is>
      </c>
      <c r="B39" t="inlineStr">
        <is>
          <t>[0, 0, 0, 0, 0, 0, 0, 0, 0, 0, 0, 0]</t>
        </is>
      </c>
    </row>
    <row r="40">
      <c r="A40" t="inlineStr">
        <is>
          <t>herramientas</t>
        </is>
      </c>
      <c r="B40" t="inlineStr">
        <is>
          <t>[60, 60, 60, 90, 90, 90, 130, 130, 130, 130, 130, 130]</t>
        </is>
      </c>
    </row>
    <row r="41">
      <c r="A41" t="inlineStr">
        <is>
          <t>edicion_por_video</t>
        </is>
      </c>
      <c r="B41" t="inlineStr">
        <is>
          <t>[0, 0, 180, 180, 180, 180, 180, 180, 180, 180, 180, 180]</t>
        </is>
      </c>
    </row>
    <row r="42">
      <c r="A42" t="inlineStr">
        <is>
          <t>guion_por_video</t>
        </is>
      </c>
      <c r="B42" t="inlineStr">
        <is>
          <t>[15, 15, 15, 15, 15, 75, 75, 75, 75, 75, 75, 75]</t>
        </is>
      </c>
    </row>
    <row r="43">
      <c r="A43" t="inlineStr">
        <is>
          <t>otros</t>
        </is>
      </c>
      <c r="B43" t="inlineStr">
        <is>
          <t>[100, 10, 10, 150, 150, 150, 150, 150, 150, 150, 150, 150]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Vídeos largos</t>
        </is>
      </c>
      <c r="C1" s="1" t="inlineStr">
        <is>
          <t>Shorts</t>
        </is>
      </c>
      <c r="D1" s="1" t="inlineStr">
        <is>
          <t>Vistas vídeos nuevos</t>
        </is>
      </c>
      <c r="E1" s="1" t="inlineStr">
        <is>
          <t>Vistas catálogo</t>
        </is>
      </c>
      <c r="F1" s="1" t="inlineStr">
        <is>
          <t>Vistas largos total</t>
        </is>
      </c>
      <c r="G1" s="1" t="inlineStr">
        <is>
          <t>Vistas Shorts</t>
        </is>
      </c>
      <c r="H1" s="1" t="inlineStr">
        <is>
          <t>Horas públicas 12m</t>
        </is>
      </c>
      <c r="I1" s="1" t="inlineStr">
        <is>
          <t>Suscriptores</t>
        </is>
      </c>
      <c r="J1" s="1" t="inlineStr">
        <is>
          <t>Estado YPP</t>
        </is>
      </c>
      <c r="K1" s="1" t="inlineStr">
        <is>
          <t>Anuncios €</t>
        </is>
      </c>
      <c r="L1" s="1" t="inlineStr">
        <is>
          <t>Afiliación €</t>
        </is>
      </c>
      <c r="M1" s="1" t="inlineStr">
        <is>
          <t>Patrocinio €</t>
        </is>
      </c>
      <c r="N1" s="1" t="inlineStr">
        <is>
          <t>Producto €</t>
        </is>
      </c>
      <c r="O1" s="1" t="inlineStr">
        <is>
          <t>Servicios €</t>
        </is>
      </c>
      <c r="P1" s="1" t="inlineStr">
        <is>
          <t>Ingresos €</t>
        </is>
      </c>
      <c r="Q1" s="1" t="inlineStr">
        <is>
          <t>Herramientas €</t>
        </is>
      </c>
      <c r="R1" s="1" t="inlineStr">
        <is>
          <t>Edición y licencias €</t>
        </is>
      </c>
      <c r="S1" s="1" t="inlineStr">
        <is>
          <t>Otros €</t>
        </is>
      </c>
      <c r="T1" s="1" t="inlineStr">
        <is>
          <t>Costes €</t>
        </is>
      </c>
      <c r="U1" s="1" t="inlineStr">
        <is>
          <t>BAI €</t>
        </is>
      </c>
      <c r="V1" s="1" t="inlineStr">
        <is>
          <t>Caja acumulada €</t>
        </is>
      </c>
    </row>
    <row r="2">
      <c r="A2" t="inlineStr">
        <is>
          <t>Nov-26</t>
        </is>
      </c>
      <c r="B2" t="n">
        <v>4</v>
      </c>
      <c r="C2" t="n">
        <v>8</v>
      </c>
      <c r="D2" t="n">
        <v>3200</v>
      </c>
      <c r="E2" t="n">
        <v>0</v>
      </c>
      <c r="F2" t="n">
        <v>3200</v>
      </c>
      <c r="G2" t="n">
        <v>6400</v>
      </c>
      <c r="H2" t="n">
        <v>320</v>
      </c>
      <c r="I2" t="n">
        <v>29</v>
      </c>
      <c r="J2" t="inlineStr">
        <is>
          <t>No elegible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>
        <f>K2+L2+M2+N2+O2</f>
        <v/>
      </c>
      <c r="Q2" t="n">
        <v>0</v>
      </c>
      <c r="R2" t="n">
        <v>0</v>
      </c>
      <c r="S2" t="n">
        <v>0</v>
      </c>
      <c r="T2">
        <f>Q2+R2+S2</f>
        <v/>
      </c>
      <c r="U2">
        <f>P2-T2</f>
        <v/>
      </c>
      <c r="V2">
        <f>U2</f>
        <v/>
      </c>
    </row>
    <row r="3">
      <c r="A3" t="inlineStr">
        <is>
          <t>Dic-26</t>
        </is>
      </c>
      <c r="B3" t="n">
        <v>4</v>
      </c>
      <c r="C3" t="n">
        <v>8</v>
      </c>
      <c r="D3" t="n">
        <v>4093</v>
      </c>
      <c r="E3" t="n">
        <v>800</v>
      </c>
      <c r="F3" t="n">
        <v>4893</v>
      </c>
      <c r="G3" t="n">
        <v>9600</v>
      </c>
      <c r="H3" t="n">
        <v>809</v>
      </c>
      <c r="I3" t="n">
        <v>73</v>
      </c>
      <c r="J3" t="inlineStr">
        <is>
          <t>No elegible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>
        <f>K3+L3+M3+N3+O3</f>
        <v/>
      </c>
      <c r="Q3" t="n">
        <v>0</v>
      </c>
      <c r="R3" t="n">
        <v>0</v>
      </c>
      <c r="S3" t="n">
        <v>0</v>
      </c>
      <c r="T3">
        <f>Q3+R3+S3</f>
        <v/>
      </c>
      <c r="U3">
        <f>P3-T3</f>
        <v/>
      </c>
      <c r="V3">
        <f>V2+U3</f>
        <v/>
      </c>
    </row>
    <row r="4">
      <c r="A4" t="inlineStr">
        <is>
          <t>Ene-27</t>
        </is>
      </c>
      <c r="B4" t="n">
        <v>4</v>
      </c>
      <c r="C4" t="n">
        <v>8</v>
      </c>
      <c r="D4" t="n">
        <v>5236</v>
      </c>
      <c r="E4" t="n">
        <v>1791</v>
      </c>
      <c r="F4" t="n">
        <v>7027</v>
      </c>
      <c r="G4" t="n">
        <v>12800</v>
      </c>
      <c r="H4" t="n">
        <v>1512</v>
      </c>
      <c r="I4" t="n">
        <v>135</v>
      </c>
      <c r="J4" t="inlineStr">
        <is>
          <t>No elegible</t>
        </is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>
        <f>K4+L4+M4+N4+O4</f>
        <v/>
      </c>
      <c r="Q4" t="n">
        <v>0</v>
      </c>
      <c r="R4" t="n">
        <v>0</v>
      </c>
      <c r="S4" t="n">
        <v>0</v>
      </c>
      <c r="T4">
        <f>Q4+R4+S4</f>
        <v/>
      </c>
      <c r="U4">
        <f>P4-T4</f>
        <v/>
      </c>
      <c r="V4">
        <f>V3+U4</f>
        <v/>
      </c>
    </row>
    <row r="5">
      <c r="A5" t="inlineStr">
        <is>
          <t>Feb-27</t>
        </is>
      </c>
      <c r="B5" t="n">
        <v>5</v>
      </c>
      <c r="C5" t="n">
        <v>10</v>
      </c>
      <c r="D5" t="n">
        <v>8372</v>
      </c>
      <c r="E5" t="n">
        <v>3029</v>
      </c>
      <c r="F5" t="n">
        <v>11400</v>
      </c>
      <c r="G5" t="n">
        <v>20000</v>
      </c>
      <c r="H5" t="n">
        <v>2652</v>
      </c>
      <c r="I5" t="n">
        <v>237</v>
      </c>
      <c r="J5" t="inlineStr">
        <is>
          <t>No elegible</t>
        </is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>
        <f>K5+L5+M5+N5+O5</f>
        <v/>
      </c>
      <c r="Q5" t="n">
        <v>22</v>
      </c>
      <c r="R5" t="n">
        <v>0</v>
      </c>
      <c r="S5" t="n">
        <v>0</v>
      </c>
      <c r="T5">
        <f>Q5+R5+S5</f>
        <v/>
      </c>
      <c r="U5">
        <f>P5-T5</f>
        <v/>
      </c>
      <c r="V5">
        <f>V4+U5</f>
        <v/>
      </c>
    </row>
    <row r="6">
      <c r="A6" t="inlineStr">
        <is>
          <t>Mar-27</t>
        </is>
      </c>
      <c r="B6" t="n">
        <v>5</v>
      </c>
      <c r="C6" t="n">
        <v>10</v>
      </c>
      <c r="D6" t="n">
        <v>10709</v>
      </c>
      <c r="E6" t="n">
        <v>5000</v>
      </c>
      <c r="F6" t="n">
        <v>15709</v>
      </c>
      <c r="G6" t="n">
        <v>25000</v>
      </c>
      <c r="H6" t="n">
        <v>4223</v>
      </c>
      <c r="I6" t="n">
        <v>375</v>
      </c>
      <c r="J6" t="inlineStr">
        <is>
          <t>No elegible</t>
        </is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>
        <f>K6+L6+M6+N6+O6</f>
        <v/>
      </c>
      <c r="Q6" t="n">
        <v>22</v>
      </c>
      <c r="R6" t="n">
        <v>0</v>
      </c>
      <c r="S6" t="n">
        <v>0</v>
      </c>
      <c r="T6">
        <f>Q6+R6+S6</f>
        <v/>
      </c>
      <c r="U6">
        <f>P6-T6</f>
        <v/>
      </c>
      <c r="V6">
        <f>V5+U6</f>
        <v/>
      </c>
    </row>
    <row r="7">
      <c r="A7" t="inlineStr">
        <is>
          <t>Abr-27</t>
        </is>
      </c>
      <c r="B7" t="n">
        <v>5</v>
      </c>
      <c r="C7" t="n">
        <v>10</v>
      </c>
      <c r="D7" t="n">
        <v>13698</v>
      </c>
      <c r="E7" t="n">
        <v>7478</v>
      </c>
      <c r="F7" t="n">
        <v>21175</v>
      </c>
      <c r="G7" t="n">
        <v>30000</v>
      </c>
      <c r="H7" t="n">
        <v>6340</v>
      </c>
      <c r="I7" t="n">
        <v>559</v>
      </c>
      <c r="J7" t="inlineStr">
        <is>
          <t>No elegible</t>
        </is>
      </c>
      <c r="K7" t="n">
        <v>0</v>
      </c>
      <c r="L7" t="n">
        <v>6</v>
      </c>
      <c r="M7" t="n">
        <v>0</v>
      </c>
      <c r="N7" t="n">
        <v>0</v>
      </c>
      <c r="O7" t="n">
        <v>0</v>
      </c>
      <c r="P7">
        <f>K7+L7+M7+N7+O7</f>
        <v/>
      </c>
      <c r="Q7" t="n">
        <v>22</v>
      </c>
      <c r="R7" t="n">
        <v>0</v>
      </c>
      <c r="S7" t="n">
        <v>0</v>
      </c>
      <c r="T7">
        <f>Q7+R7+S7</f>
        <v/>
      </c>
      <c r="U7">
        <f>P7-T7</f>
        <v/>
      </c>
      <c r="V7">
        <f>V6+U7</f>
        <v/>
      </c>
    </row>
    <row r="8">
      <c r="A8" t="inlineStr">
        <is>
          <t>May-27</t>
        </is>
      </c>
      <c r="B8" t="n">
        <v>6</v>
      </c>
      <c r="C8" t="n">
        <v>12</v>
      </c>
      <c r="D8" t="n">
        <v>21025</v>
      </c>
      <c r="E8" t="n">
        <v>10603</v>
      </c>
      <c r="F8" t="n">
        <v>31628</v>
      </c>
      <c r="G8" t="n">
        <v>42000</v>
      </c>
      <c r="H8" t="n">
        <v>9503</v>
      </c>
      <c r="I8" t="n">
        <v>833</v>
      </c>
      <c r="J8" t="inlineStr">
        <is>
          <t>No elegible</t>
        </is>
      </c>
      <c r="K8" t="n">
        <v>0</v>
      </c>
      <c r="L8" t="n">
        <v>9</v>
      </c>
      <c r="M8" t="n">
        <v>0</v>
      </c>
      <c r="N8" t="n">
        <v>0</v>
      </c>
      <c r="O8" t="n">
        <v>0</v>
      </c>
      <c r="P8">
        <f>K8+L8+M8+N8+O8</f>
        <v/>
      </c>
      <c r="Q8" t="n">
        <v>22</v>
      </c>
      <c r="R8" t="n">
        <v>0</v>
      </c>
      <c r="S8" t="n">
        <v>150</v>
      </c>
      <c r="T8">
        <f>Q8+R8+S8</f>
        <v/>
      </c>
      <c r="U8">
        <f>P8-T8</f>
        <v/>
      </c>
      <c r="V8">
        <f>V7+U8</f>
        <v/>
      </c>
    </row>
    <row r="9">
      <c r="A9" t="inlineStr">
        <is>
          <t>Jun-27</t>
        </is>
      </c>
      <c r="B9" t="n">
        <v>6</v>
      </c>
      <c r="C9" t="n">
        <v>12</v>
      </c>
      <c r="D9" t="n">
        <v>26894</v>
      </c>
      <c r="E9" t="n">
        <v>15435</v>
      </c>
      <c r="F9" t="n">
        <v>42330</v>
      </c>
      <c r="G9" t="n">
        <v>48000</v>
      </c>
      <c r="H9" t="n">
        <v>13736</v>
      </c>
      <c r="I9" t="n">
        <v>1196</v>
      </c>
      <c r="J9" t="inlineStr">
        <is>
          <t>Elegible-revisión</t>
        </is>
      </c>
      <c r="K9" t="n">
        <v>0</v>
      </c>
      <c r="L9" t="n">
        <v>13</v>
      </c>
      <c r="M9" t="n">
        <v>54</v>
      </c>
      <c r="N9" t="n">
        <v>0</v>
      </c>
      <c r="O9" t="n">
        <v>0</v>
      </c>
      <c r="P9">
        <f>K9+L9+M9+N9+O9</f>
        <v/>
      </c>
      <c r="Q9" t="n">
        <v>22</v>
      </c>
      <c r="R9" t="n">
        <v>0</v>
      </c>
      <c r="S9" t="n">
        <v>150</v>
      </c>
      <c r="T9">
        <f>Q9+R9+S9</f>
        <v/>
      </c>
      <c r="U9">
        <f>P9-T9</f>
        <v/>
      </c>
      <c r="V9">
        <f>V8+U9</f>
        <v/>
      </c>
    </row>
    <row r="10">
      <c r="A10" t="inlineStr">
        <is>
          <t>Jul-27</t>
        </is>
      </c>
      <c r="B10" t="n">
        <v>6</v>
      </c>
      <c r="C10" t="n">
        <v>12</v>
      </c>
      <c r="D10" t="n">
        <v>34402</v>
      </c>
      <c r="E10" t="n">
        <v>21541</v>
      </c>
      <c r="F10" t="n">
        <v>55943</v>
      </c>
      <c r="G10" t="n">
        <v>54000</v>
      </c>
      <c r="H10" t="n">
        <v>19331</v>
      </c>
      <c r="I10" t="n">
        <v>1670</v>
      </c>
      <c r="J10" t="inlineStr">
        <is>
          <t>Monetizado</t>
        </is>
      </c>
      <c r="K10" t="n">
        <v>140</v>
      </c>
      <c r="L10" t="n">
        <v>17</v>
      </c>
      <c r="M10" t="n">
        <v>69</v>
      </c>
      <c r="N10" t="n">
        <v>0</v>
      </c>
      <c r="O10" t="n">
        <v>0</v>
      </c>
      <c r="P10">
        <f>K10+L10+M10+N10+O10</f>
        <v/>
      </c>
      <c r="Q10" t="n">
        <v>22</v>
      </c>
      <c r="R10" t="n">
        <v>0</v>
      </c>
      <c r="S10" t="n">
        <v>150</v>
      </c>
      <c r="T10">
        <f>Q10+R10+S10</f>
        <v/>
      </c>
      <c r="U10">
        <f>P10-T10</f>
        <v/>
      </c>
      <c r="V10">
        <f>V9+U10</f>
        <v/>
      </c>
    </row>
    <row r="11">
      <c r="A11" t="inlineStr">
        <is>
          <t>Ago-27</t>
        </is>
      </c>
      <c r="B11" t="n">
        <v>6</v>
      </c>
      <c r="C11" t="n">
        <v>12</v>
      </c>
      <c r="D11" t="n">
        <v>44005</v>
      </c>
      <c r="E11" t="n">
        <v>29280</v>
      </c>
      <c r="F11" t="n">
        <v>73285</v>
      </c>
      <c r="G11" t="n">
        <v>60000</v>
      </c>
      <c r="H11" t="n">
        <v>26659</v>
      </c>
      <c r="I11" t="n">
        <v>2287</v>
      </c>
      <c r="J11" t="inlineStr">
        <is>
          <t>Monetizado</t>
        </is>
      </c>
      <c r="K11" t="n">
        <v>183</v>
      </c>
      <c r="L11" t="n">
        <v>22</v>
      </c>
      <c r="M11" t="n">
        <v>88</v>
      </c>
      <c r="N11" t="n">
        <v>0</v>
      </c>
      <c r="O11" t="n">
        <v>0</v>
      </c>
      <c r="P11">
        <f>K11+L11+M11+N11+O11</f>
        <v/>
      </c>
      <c r="Q11" t="n">
        <v>22</v>
      </c>
      <c r="R11" t="n">
        <v>0</v>
      </c>
      <c r="S11" t="n">
        <v>150</v>
      </c>
      <c r="T11">
        <f>Q11+R11+S11</f>
        <v/>
      </c>
      <c r="U11">
        <f>P11-T11</f>
        <v/>
      </c>
      <c r="V11">
        <f>V10+U11</f>
        <v/>
      </c>
    </row>
    <row r="12">
      <c r="A12" t="inlineStr">
        <is>
          <t>Sep-27</t>
        </is>
      </c>
      <c r="B12" t="n">
        <v>6</v>
      </c>
      <c r="C12" t="n">
        <v>12</v>
      </c>
      <c r="D12" t="n">
        <v>56288</v>
      </c>
      <c r="E12" t="n">
        <v>39110</v>
      </c>
      <c r="F12" t="n">
        <v>95398</v>
      </c>
      <c r="G12" t="n">
        <v>66000</v>
      </c>
      <c r="H12" t="n">
        <v>36199</v>
      </c>
      <c r="I12" t="n">
        <v>3083</v>
      </c>
      <c r="J12" t="inlineStr">
        <is>
          <t>Monetizado</t>
        </is>
      </c>
      <c r="K12" t="n">
        <v>238</v>
      </c>
      <c r="L12" t="n">
        <v>29</v>
      </c>
      <c r="M12" t="n">
        <v>113</v>
      </c>
      <c r="N12" t="n">
        <v>0</v>
      </c>
      <c r="O12" t="n">
        <v>0</v>
      </c>
      <c r="P12">
        <f>K12+L12+M12+N12+O12</f>
        <v/>
      </c>
      <c r="Q12" t="n">
        <v>22</v>
      </c>
      <c r="R12" t="n">
        <v>0</v>
      </c>
      <c r="S12" t="n">
        <v>150</v>
      </c>
      <c r="T12">
        <f>Q12+R12+S12</f>
        <v/>
      </c>
      <c r="U12">
        <f>P12-T12</f>
        <v/>
      </c>
      <c r="V12">
        <f>V11+U12</f>
        <v/>
      </c>
    </row>
    <row r="13">
      <c r="A13" t="inlineStr">
        <is>
          <t>Oct-27</t>
        </is>
      </c>
      <c r="B13" t="n">
        <v>6</v>
      </c>
      <c r="C13" t="n">
        <v>12</v>
      </c>
      <c r="D13" t="n">
        <v>72000</v>
      </c>
      <c r="E13" t="n">
        <v>51618</v>
      </c>
      <c r="F13" t="n">
        <v>123618</v>
      </c>
      <c r="G13" t="n">
        <v>72000</v>
      </c>
      <c r="H13" t="n">
        <v>48561</v>
      </c>
      <c r="I13" t="n">
        <v>4108</v>
      </c>
      <c r="J13" t="inlineStr">
        <is>
          <t>Monetizado</t>
        </is>
      </c>
      <c r="K13" t="n">
        <v>309</v>
      </c>
      <c r="L13" t="n">
        <v>37</v>
      </c>
      <c r="M13" t="n">
        <v>144</v>
      </c>
      <c r="N13" t="n">
        <v>0</v>
      </c>
      <c r="O13" t="n">
        <v>0</v>
      </c>
      <c r="P13">
        <f>K13+L13+M13+N13+O13</f>
        <v/>
      </c>
      <c r="Q13" t="n">
        <v>22</v>
      </c>
      <c r="R13" t="n">
        <v>0</v>
      </c>
      <c r="S13" t="n">
        <v>150</v>
      </c>
      <c r="T13">
        <f>Q13+R13+S13</f>
        <v/>
      </c>
      <c r="U13">
        <f>P13-T13</f>
        <v/>
      </c>
      <c r="V13">
        <f>V12+U13</f>
        <v/>
      </c>
    </row>
    <row r="15">
      <c r="A15" t="inlineStr">
        <is>
          <t>Hipótesis</t>
        </is>
      </c>
    </row>
    <row r="16">
      <c r="A16" t="inlineStr">
        <is>
          <t>nombre</t>
        </is>
      </c>
      <c r="B16" t="inlineStr">
        <is>
          <t>IA coste casi cero</t>
        </is>
      </c>
    </row>
    <row r="17">
      <c r="A17" t="inlineStr">
        <is>
          <t>videos</t>
        </is>
      </c>
      <c r="B17" t="inlineStr">
        <is>
          <t>[4, 4, 4, 5, 5, 5, 6, 6, 6, 6, 6, 6]</t>
        </is>
      </c>
    </row>
    <row r="18">
      <c r="A18" t="inlineStr">
        <is>
          <t>shorts</t>
        </is>
      </c>
      <c r="B18" t="inlineStr">
        <is>
          <t>[8, 8, 8, 10, 10, 10, 12, 12, 12, 12, 12, 12]</t>
        </is>
      </c>
    </row>
    <row r="19">
      <c r="A19" t="inlineStr">
        <is>
          <t>v_inicial</t>
        </is>
      </c>
      <c r="B19" t="inlineStr">
        <is>
          <t>800</t>
        </is>
      </c>
    </row>
    <row r="20">
      <c r="A20" t="inlineStr">
        <is>
          <t>v_final</t>
        </is>
      </c>
      <c r="B20" t="inlineStr">
        <is>
          <t>12000</t>
        </is>
      </c>
    </row>
    <row r="21">
      <c r="A21" t="inlineStr">
        <is>
          <t>cola</t>
        </is>
      </c>
      <c r="B21" t="inlineStr">
        <is>
          <t>0.25</t>
        </is>
      </c>
    </row>
    <row r="22">
      <c r="A22" t="inlineStr">
        <is>
          <t>decaimiento</t>
        </is>
      </c>
      <c r="B22" t="inlineStr">
        <is>
          <t>0.96</t>
        </is>
      </c>
    </row>
    <row r="23">
      <c r="A23" t="inlineStr">
        <is>
          <t>vistas_short</t>
        </is>
      </c>
      <c r="B23" t="inlineStr">
        <is>
          <t>[800, 1200, 1600, 2000, 2500, 3000, 3500, 4000, 4500, 5000, 5500, 6000]</t>
        </is>
      </c>
    </row>
    <row r="24">
      <c r="A24" t="inlineStr">
        <is>
          <t>avd_min</t>
        </is>
      </c>
      <c r="B24" t="inlineStr">
        <is>
          <t>6.0</t>
        </is>
      </c>
    </row>
    <row r="25">
      <c r="A25" t="inlineStr">
        <is>
          <t>subs_por_mil</t>
        </is>
      </c>
      <c r="B25" t="inlineStr">
        <is>
          <t>8</t>
        </is>
      </c>
    </row>
    <row r="26">
      <c r="A26" t="inlineStr">
        <is>
          <t>subs_por_mil_short</t>
        </is>
      </c>
      <c r="B26" t="inlineStr">
        <is>
          <t>0.5</t>
        </is>
      </c>
    </row>
    <row r="27">
      <c r="A27" t="inlineStr">
        <is>
          <t>umbral_horas</t>
        </is>
      </c>
      <c r="B27" t="inlineStr">
        <is>
          <t>8000</t>
        </is>
      </c>
    </row>
    <row r="28">
      <c r="A28" t="inlineStr">
        <is>
          <t>umbral_subs</t>
        </is>
      </c>
      <c r="B28" t="inlineStr">
        <is>
          <t>1000</t>
        </is>
      </c>
    </row>
    <row r="29">
      <c r="A29" t="inlineStr">
        <is>
          <t>retraso_revision</t>
        </is>
      </c>
      <c r="B29" t="inlineStr">
        <is>
          <t>1</t>
        </is>
      </c>
    </row>
    <row r="30">
      <c r="A30" t="inlineStr">
        <is>
          <t>rpm</t>
        </is>
      </c>
      <c r="B30" t="inlineStr">
        <is>
          <t>2.5</t>
        </is>
      </c>
    </row>
    <row r="31">
      <c r="A31" t="inlineStr">
        <is>
          <t>afil_por_mil</t>
        </is>
      </c>
      <c r="B31" t="inlineStr">
        <is>
          <t>0.3</t>
        </is>
      </c>
    </row>
    <row r="32">
      <c r="A32" t="inlineStr">
        <is>
          <t>afil_desde</t>
        </is>
      </c>
      <c r="B32" t="inlineStr">
        <is>
          <t>3</t>
        </is>
      </c>
    </row>
    <row r="33">
      <c r="A33" t="inlineStr">
        <is>
          <t>patro_desde</t>
        </is>
      </c>
      <c r="B33" t="inlineStr">
        <is>
          <t>8</t>
        </is>
      </c>
    </row>
    <row r="34">
      <c r="A34" t="inlineStr">
        <is>
          <t>patro_cpm</t>
        </is>
      </c>
      <c r="B34" t="inlineStr">
        <is>
          <t>12</t>
        </is>
      </c>
    </row>
    <row r="35">
      <c r="A35" t="inlineStr">
        <is>
          <t>patro_por_mes</t>
        </is>
      </c>
      <c r="B35" t="inlineStr">
        <is>
          <t>[1, 1, 1, 1, 1, 1, 1, 1, 1, 1, 1, 1]</t>
        </is>
      </c>
    </row>
    <row r="36">
      <c r="A36" t="inlineStr">
        <is>
          <t>prod_desde</t>
        </is>
      </c>
      <c r="B36" t="inlineStr">
        <is>
          <t>13</t>
        </is>
      </c>
    </row>
    <row r="37">
      <c r="A37" t="inlineStr">
        <is>
          <t>prod_conv</t>
        </is>
      </c>
      <c r="B37" t="inlineStr">
        <is>
          <t>0</t>
        </is>
      </c>
    </row>
    <row r="38">
      <c r="A38" t="inlineStr">
        <is>
          <t>prod_precio</t>
        </is>
      </c>
      <c r="B38" t="inlineStr">
        <is>
          <t>0</t>
        </is>
      </c>
    </row>
    <row r="39">
      <c r="A39" t="inlineStr">
        <is>
          <t>servicios</t>
        </is>
      </c>
      <c r="B39" t="inlineStr">
        <is>
          <t>[0, 0, 0, 0, 0, 0, 0, 0, 0, 0, 0, 0]</t>
        </is>
      </c>
    </row>
    <row r="40">
      <c r="A40" t="inlineStr">
        <is>
          <t>herramientas</t>
        </is>
      </c>
      <c r="B40" t="inlineStr">
        <is>
          <t>[0, 0, 0, 22, 22, 22, 22, 22, 22, 22, 22, 22]</t>
        </is>
      </c>
    </row>
    <row r="41">
      <c r="A41" t="inlineStr">
        <is>
          <t>edicion_por_video</t>
        </is>
      </c>
      <c r="B41" t="inlineStr">
        <is>
          <t>[0, 0, 0, 0, 0, 0, 0, 0, 0, 0, 0, 0]</t>
        </is>
      </c>
    </row>
    <row r="42">
      <c r="A42" t="inlineStr">
        <is>
          <t>guion_por_video</t>
        </is>
      </c>
      <c r="B42" t="inlineStr">
        <is>
          <t>[0, 0, 0, 0, 0, 0, 0, 0, 0, 0, 0, 0]</t>
        </is>
      </c>
    </row>
    <row r="43">
      <c r="A43" t="inlineStr">
        <is>
          <t>otros</t>
        </is>
      </c>
      <c r="B43" t="inlineStr">
        <is>
          <t>[0, 0, 0, 0, 0, 0, 150, 150, 150, 150, 150, 150]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Caso</t>
        </is>
      </c>
      <c r="B1" s="2" t="inlineStr">
        <is>
          <t>Ingresos 12m €</t>
        </is>
      </c>
      <c r="C1" s="2" t="inlineStr">
        <is>
          <t>Costes 12m €</t>
        </is>
      </c>
      <c r="D1" s="2" t="inlineStr">
        <is>
          <t>BAI 12m €</t>
        </is>
      </c>
      <c r="E1" s="2" t="inlineStr">
        <is>
          <t>Caja mínima €</t>
        </is>
      </c>
      <c r="F1" s="2" t="inlineStr">
        <is>
          <t>YPP</t>
        </is>
      </c>
      <c r="G1" s="2" t="inlineStr">
        <is>
          <t>Ingresos mes 12 €</t>
        </is>
      </c>
      <c r="H1" s="2" t="inlineStr">
        <is>
          <t>BAI mes 12 €</t>
        </is>
      </c>
    </row>
    <row r="2">
      <c r="A2" t="inlineStr">
        <is>
          <t>Base</t>
        </is>
      </c>
      <c r="B2" t="n">
        <v>1481</v>
      </c>
      <c r="C2" t="n">
        <v>10125</v>
      </c>
      <c r="D2" t="n">
        <v>-8644</v>
      </c>
      <c r="E2" t="n">
        <v>-8644</v>
      </c>
      <c r="F2" t="inlineStr">
        <is>
          <t>Jul-27</t>
        </is>
      </c>
      <c r="G2" t="n">
        <v>490</v>
      </c>
      <c r="H2" t="n">
        <v>-780</v>
      </c>
    </row>
    <row r="3">
      <c r="A3" t="inlineStr">
        <is>
          <t>Base con edición propia todo el año (sin externalizar)</t>
        </is>
      </c>
      <c r="B3" t="n">
        <v>1481</v>
      </c>
      <c r="C3" t="n">
        <v>3225</v>
      </c>
      <c r="D3" t="n">
        <v>-1744</v>
      </c>
      <c r="E3" t="n">
        <v>-1874</v>
      </c>
      <c r="F3" t="inlineStr">
        <is>
          <t>Jul-27</t>
        </is>
      </c>
      <c r="G3" t="n">
        <v>490</v>
      </c>
      <c r="H3" t="n">
        <v>120</v>
      </c>
    </row>
    <row r="4">
      <c r="A4" t="inlineStr">
        <is>
          <t>IA coste casi cero (mismas vistas que la base)</t>
        </is>
      </c>
      <c r="B4" t="n">
        <v>1481</v>
      </c>
      <c r="C4" t="n">
        <v>1098</v>
      </c>
      <c r="D4" t="n">
        <v>383</v>
      </c>
      <c r="E4" t="n">
        <v>-317</v>
      </c>
      <c r="F4" t="inlineStr">
        <is>
          <t>Jul-27</t>
        </is>
      </c>
      <c r="G4" t="n">
        <v>490</v>
      </c>
      <c r="H4" t="n">
        <v>318</v>
      </c>
    </row>
    <row r="5">
      <c r="A5" t="inlineStr">
        <is>
          <t>IA coste casi cero con −30 % de vistas (voz y estética IA retienen menos)</t>
        </is>
      </c>
      <c r="B5" t="n">
        <v>939</v>
      </c>
      <c r="C5" t="n">
        <v>1098</v>
      </c>
      <c r="D5" t="n">
        <v>-159</v>
      </c>
      <c r="E5" t="n">
        <v>-457</v>
      </c>
      <c r="F5" t="inlineStr">
        <is>
          <t>Ago-27</t>
        </is>
      </c>
      <c r="G5" t="n">
        <v>343</v>
      </c>
      <c r="H5" t="n">
        <v>171</v>
      </c>
    </row>
    <row r="6">
      <c r="A6" t="inlineStr">
        <is>
          <t>IA coste casi cero con −60 % de vistas (sin diferenciación)</t>
        </is>
      </c>
      <c r="B6" t="n">
        <v>368</v>
      </c>
      <c r="C6" t="n">
        <v>1098</v>
      </c>
      <c r="D6" t="n">
        <v>-730</v>
      </c>
      <c r="E6" t="n">
        <v>-754</v>
      </c>
      <c r="F6" t="inlineStr">
        <is>
          <t>Oct-27</t>
        </is>
      </c>
      <c r="G6" t="n">
        <v>196</v>
      </c>
      <c r="H6" t="n">
        <v>24</v>
      </c>
    </row>
    <row r="7">
      <c r="A7" t="inlineStr">
        <is>
          <t>Visualizaciones −50 %</t>
        </is>
      </c>
      <c r="B7" t="n">
        <v>579</v>
      </c>
      <c r="C7" t="n">
        <v>10125</v>
      </c>
      <c r="D7" t="n">
        <v>-9546</v>
      </c>
      <c r="E7" t="n">
        <v>-9546</v>
      </c>
      <c r="F7" t="inlineStr">
        <is>
          <t>Sep-27</t>
        </is>
      </c>
      <c r="G7" t="n">
        <v>245</v>
      </c>
      <c r="H7" t="n">
        <v>-1025</v>
      </c>
    </row>
    <row r="8">
      <c r="A8" t="inlineStr">
        <is>
          <t>RPM a la mitad</t>
        </is>
      </c>
      <c r="B8" t="n">
        <v>1046</v>
      </c>
      <c r="C8" t="n">
        <v>10125</v>
      </c>
      <c r="D8" t="n">
        <v>-9079</v>
      </c>
      <c r="E8" t="n">
        <v>-9079</v>
      </c>
      <c r="F8" t="inlineStr">
        <is>
          <t>Jul-27</t>
        </is>
      </c>
      <c r="G8" t="n">
        <v>336</v>
      </c>
      <c r="H8" t="n">
        <v>-934</v>
      </c>
    </row>
    <row r="9">
      <c r="A9" t="inlineStr">
        <is>
          <t>Producción al doble de coste</t>
        </is>
      </c>
      <c r="B9" t="n">
        <v>1481</v>
      </c>
      <c r="C9" t="n">
        <v>17970</v>
      </c>
      <c r="D9" t="n">
        <v>-16489</v>
      </c>
      <c r="E9" t="n">
        <v>-16489</v>
      </c>
      <c r="F9" t="inlineStr">
        <is>
          <t>Jul-27</t>
        </is>
      </c>
      <c r="G9" t="n">
        <v>490</v>
      </c>
      <c r="H9" t="n">
        <v>-1770</v>
      </c>
    </row>
    <row r="10">
      <c r="A10" t="inlineStr">
        <is>
          <t>Monetización YPP 6 meses más tarde</t>
        </is>
      </c>
      <c r="B10" t="n">
        <v>610</v>
      </c>
      <c r="C10" t="n">
        <v>10125</v>
      </c>
      <c r="D10" t="n">
        <v>-9515</v>
      </c>
      <c r="E10" t="n">
        <v>-9515</v>
      </c>
      <c r="F10" t="inlineStr">
        <is>
          <t>no en 12 meses</t>
        </is>
      </c>
      <c r="G10" t="n">
        <v>181</v>
      </c>
      <c r="H10" t="n">
        <v>-1089</v>
      </c>
    </row>
    <row r="11">
      <c r="A11" t="inlineStr">
        <is>
          <t>Un vídeo viral (+1.000.000 vistas en el mes 5)</t>
        </is>
      </c>
      <c r="B11" t="n">
        <v>6369</v>
      </c>
      <c r="C11" t="n">
        <v>10125</v>
      </c>
      <c r="D11" t="n">
        <v>-3756</v>
      </c>
      <c r="E11" t="n">
        <v>-3756</v>
      </c>
      <c r="F11" t="inlineStr">
        <is>
          <t>Abr-27</t>
        </is>
      </c>
      <c r="G11" t="n">
        <v>1038</v>
      </c>
      <c r="H11" t="n">
        <v>-232</v>
      </c>
    </row>
    <row r="12">
      <c r="A12" t="inlineStr">
        <is>
          <t>Pérdida de recomendaciones desde el mes 8</t>
        </is>
      </c>
      <c r="B12" t="n">
        <v>939</v>
      </c>
      <c r="C12" t="n">
        <v>10125</v>
      </c>
      <c r="D12" t="n">
        <v>-9186</v>
      </c>
      <c r="E12" t="n">
        <v>-9186</v>
      </c>
      <c r="F12" t="inlineStr">
        <is>
          <t>Jul-27</t>
        </is>
      </c>
      <c r="G12" t="n">
        <v>301</v>
      </c>
      <c r="H12" t="n">
        <v>-969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Categoría</t>
        </is>
      </c>
      <c r="C1" s="2" t="inlineStr">
        <is>
          <t>Título</t>
        </is>
      </c>
      <c r="D1" s="2" t="inlineStr">
        <is>
          <t>Concepto</t>
        </is>
      </c>
      <c r="E1" s="2" t="inlineStr">
        <is>
          <t>Por qué interesa</t>
        </is>
      </c>
      <c r="F1" s="2" t="inlineStr">
        <is>
          <t>Gancho</t>
        </is>
      </c>
      <c r="G1" s="2" t="inlineStr">
        <is>
          <t>Estructura</t>
        </is>
      </c>
      <c r="H1" s="2" t="inlineStr">
        <is>
          <t>Recursos</t>
        </is>
      </c>
      <c r="I1" s="2" t="inlineStr">
        <is>
          <t>Dificultad</t>
        </is>
      </c>
      <c r="J1" s="2" t="inlineStr">
        <is>
          <t>Diferenciación</t>
        </is>
      </c>
      <c r="K1" s="2" t="inlineStr">
        <is>
          <t>Riesgos</t>
        </is>
      </c>
      <c r="L1" s="2" t="inlineStr">
        <is>
          <t>Descubrimiento</t>
        </is>
      </c>
      <c r="M1" s="2" t="inlineStr">
        <is>
          <t>Evergreen</t>
        </is>
      </c>
      <c r="N1" s="2" t="inlineStr">
        <is>
          <t>Facilidad</t>
        </is>
      </c>
      <c r="O1" s="2" t="inlineStr">
        <is>
          <t>Coste €</t>
        </is>
      </c>
      <c r="P1" s="2" t="inlineStr">
        <is>
          <t>Intención</t>
        </is>
      </c>
      <c r="Q1" s="2" t="inlineStr">
        <is>
          <t>Competencia</t>
        </is>
      </c>
      <c r="R1" s="2" t="inlineStr">
        <is>
          <t>Comercial</t>
        </is>
      </c>
      <c r="S1" s="2" t="inlineStr">
        <is>
          <t>Encaje</t>
        </is>
      </c>
    </row>
    <row r="2">
      <c r="A2" t="n">
        <v>1</v>
      </c>
      <c r="B2" t="inlineStr">
        <is>
          <t>Prioritarios de lanzamiento</t>
        </is>
      </c>
      <c r="C2" t="inlineStr">
        <is>
          <t>Chupa Chups: el caramelo con palo que Dalí convirtió en icono</t>
        </is>
      </c>
      <c r="D2" t="inlineStr">
        <is>
          <t>De la fábrica familiar a marca global; el logotipo de Dalí</t>
        </is>
      </c>
      <c r="E2" t="inlineStr">
        <is>
          <t>Todo el mundo lo ha comido; orgullo español</t>
        </is>
      </c>
      <c r="F2" t="inlineStr">
        <is>
          <t>El logotipo de este caramelo lo dibujó Salvador Dalí en una servilleta… o eso dice la leyenda</t>
        </is>
      </c>
      <c r="G2" t="inlineStr">
        <is>
          <t>Gancho con el objeto cotidiano → origen → el momento de crisis → la decisión que lo cambió todo → la marca hoy → lección</t>
        </is>
      </c>
      <c r="H2" t="inlineStr">
        <is>
          <t>Motion graphics propios, fotos de archivo con licencia o dominio público, mapas, líneas de tiempo, productos fotografiados por nosotros</t>
        </is>
      </c>
      <c r="I2" t="inlineStr">
        <is>
          <t>M</t>
        </is>
      </c>
      <c r="J2" t="inlineStr">
        <is>
          <t>A</t>
        </is>
      </c>
      <c r="K2" t="inlineStr">
        <is>
          <t>Verificar fechas y cifras; logotipo solo identificativo</t>
        </is>
      </c>
      <c r="L2" t="inlineStr">
        <is>
          <t>A</t>
        </is>
      </c>
      <c r="M2" t="inlineStr">
        <is>
          <t>A</t>
        </is>
      </c>
      <c r="N2" t="inlineStr">
        <is>
          <t>M</t>
        </is>
      </c>
      <c r="O2" t="n">
        <v>180</v>
      </c>
      <c r="P2" t="inlineStr">
        <is>
          <t>Curiosidad</t>
        </is>
      </c>
      <c r="Q2" t="inlineStr">
        <is>
          <t>B</t>
        </is>
      </c>
      <c r="R2" t="inlineStr">
        <is>
          <t>M</t>
        </is>
      </c>
      <c r="S2" t="inlineStr">
        <is>
          <t>A</t>
        </is>
      </c>
    </row>
    <row r="3">
      <c r="A3" t="n">
        <v>2</v>
      </c>
      <c r="B3" t="inlineStr">
        <is>
          <t>Prioritarios de lanzamiento</t>
        </is>
      </c>
      <c r="C3" t="inlineStr">
        <is>
          <t>La historia de Coca-Cola: de jarabe de farmacia a la marca más famosa del mundo</t>
        </is>
      </c>
      <c r="D3" t="inlineStr">
        <is>
          <t>Pemberton, Candler, la botella, la publicidad</t>
        </is>
      </c>
      <c r="E3" t="inlineStr">
        <is>
          <t>Marca universal</t>
        </is>
      </c>
      <c r="F3" t="inlineStr">
        <is>
          <t>En 1886 se vendía como remedio en una farmacia de Atlanta</t>
        </is>
      </c>
      <c r="G3" t="inlineStr">
        <is>
          <t>Gancho con el objeto cotidiano → origen → el momento de crisis → la decisión que lo cambió todo → la marca hoy → lección</t>
        </is>
      </c>
      <c r="H3" t="inlineStr">
        <is>
          <t>Motion graphics propios, fotos de archivo con licencia o dominio público, mapas, líneas de tiempo, productos fotografiados por nosotros</t>
        </is>
      </c>
      <c r="I3" t="inlineStr">
        <is>
          <t>M</t>
        </is>
      </c>
      <c r="J3" t="inlineStr">
        <is>
          <t>A</t>
        </is>
      </c>
      <c r="K3" t="inlineStr">
        <is>
          <t>Verificar fechas y cifras; logotipo solo identificativo</t>
        </is>
      </c>
      <c r="L3" t="inlineStr">
        <is>
          <t>A</t>
        </is>
      </c>
      <c r="M3" t="inlineStr">
        <is>
          <t>A</t>
        </is>
      </c>
      <c r="N3" t="inlineStr">
        <is>
          <t>M</t>
        </is>
      </c>
      <c r="O3" t="n">
        <v>180</v>
      </c>
      <c r="P3" t="inlineStr">
        <is>
          <t>Curiosidad</t>
        </is>
      </c>
      <c r="Q3" t="inlineStr">
        <is>
          <t>A</t>
        </is>
      </c>
      <c r="R3" t="inlineStr">
        <is>
          <t>M</t>
        </is>
      </c>
      <c r="S3" t="inlineStr">
        <is>
          <t>A</t>
        </is>
      </c>
    </row>
    <row r="4">
      <c r="A4" t="n">
        <v>3</v>
      </c>
      <c r="B4" t="inlineStr">
        <is>
          <t>Prioritarios de lanzamiento</t>
        </is>
      </c>
      <c r="C4" t="inlineStr">
        <is>
          <t>New Coke: el mayor error de marketing de la historia</t>
        </is>
      </c>
      <c r="D4" t="inlineStr">
        <is>
          <t>1985, cambio de fórmula y vuelta en 79 días</t>
        </is>
      </c>
      <c r="E4" t="inlineStr">
        <is>
          <t>Fracaso épico y lección</t>
        </is>
      </c>
      <c r="F4" t="inlineStr">
        <is>
          <t>Coca-Cola cambió su fórmula. 79 días después tuvo que pedir perdón</t>
        </is>
      </c>
      <c r="G4" t="inlineStr">
        <is>
          <t>La cima → las grietas → la decisión fatal → el derrumbe → qué podría haber salvado la empresa</t>
        </is>
      </c>
      <c r="H4" t="inlineStr">
        <is>
          <t>Motion graphics propios, fotos de archivo con licencia o dominio público, mapas, líneas de tiempo, productos fotografiados por nosotros</t>
        </is>
      </c>
      <c r="I4" t="inlineStr">
        <is>
          <t>M</t>
        </is>
      </c>
      <c r="J4" t="inlineStr">
        <is>
          <t>A</t>
        </is>
      </c>
      <c r="K4" t="inlineStr">
        <is>
          <t>Verificar fechas y cifras; logotipo solo identificativo</t>
        </is>
      </c>
      <c r="L4" t="inlineStr">
        <is>
          <t>A</t>
        </is>
      </c>
      <c r="M4" t="inlineStr">
        <is>
          <t>A</t>
        </is>
      </c>
      <c r="N4" t="inlineStr">
        <is>
          <t>M</t>
        </is>
      </c>
      <c r="O4" t="n">
        <v>180</v>
      </c>
      <c r="P4" t="inlineStr">
        <is>
          <t>Curiosidad</t>
        </is>
      </c>
      <c r="Q4" t="inlineStr">
        <is>
          <t>M</t>
        </is>
      </c>
      <c r="R4" t="inlineStr">
        <is>
          <t>M</t>
        </is>
      </c>
      <c r="S4" t="inlineStr">
        <is>
          <t>A</t>
        </is>
      </c>
    </row>
    <row r="5">
      <c r="A5" t="n">
        <v>4</v>
      </c>
      <c r="B5" t="inlineStr">
        <is>
          <t>Prioritarios de lanzamiento</t>
        </is>
      </c>
      <c r="C5" t="inlineStr">
        <is>
          <t>Zara: cómo una tienda de A Coruña cambió la forma de vestir del mundo (V)</t>
        </is>
      </c>
      <c r="D5" t="inlineStr">
        <is>
          <t>Amancio Ortega, modelo de producción rápida</t>
        </is>
      </c>
      <c r="E5" t="inlineStr">
        <is>
          <t>Marca que todos conocen; curiosidad por Ortega</t>
        </is>
      </c>
      <c r="F5" t="inlineStr">
        <is>
          <t>Zara no hace publicidad. Y aun así…</t>
        </is>
      </c>
      <c r="G5" t="inlineStr">
        <is>
          <t>Gancho con el objeto cotidiano → origen → el momento de crisis → la decisión que lo cambió todo → la marca hoy → lección</t>
        </is>
      </c>
      <c r="H5" t="inlineStr">
        <is>
          <t>Motion graphics + hemeroteca (citas breves) + fotos de archivo con licencia + gráficos de cifras</t>
        </is>
      </c>
      <c r="I5" t="inlineStr">
        <is>
          <t>M</t>
        </is>
      </c>
      <c r="J5" t="inlineStr">
        <is>
          <t>A</t>
        </is>
      </c>
      <c r="K5" t="inlineStr">
        <is>
          <t>Verificar fechas y cifras; logotipo solo identificativo</t>
        </is>
      </c>
      <c r="L5" t="inlineStr">
        <is>
          <t>A</t>
        </is>
      </c>
      <c r="M5" t="inlineStr">
        <is>
          <t>A</t>
        </is>
      </c>
      <c r="N5" t="inlineStr">
        <is>
          <t>M</t>
        </is>
      </c>
      <c r="O5" t="n">
        <v>180</v>
      </c>
      <c r="P5" t="inlineStr">
        <is>
          <t>Curiosidad</t>
        </is>
      </c>
      <c r="Q5" t="inlineStr">
        <is>
          <t>M</t>
        </is>
      </c>
      <c r="R5" t="inlineStr">
        <is>
          <t>A</t>
        </is>
      </c>
      <c r="S5" t="inlineStr">
        <is>
          <t>A</t>
        </is>
      </c>
    </row>
    <row r="6">
      <c r="A6" t="n">
        <v>5</v>
      </c>
      <c r="B6" t="inlineStr">
        <is>
          <t>Prioritarios de lanzamiento</t>
        </is>
      </c>
      <c r="C6" t="inlineStr">
        <is>
          <t>Mercadona: la estrategia detrás del supermercado que más vende en España (V)</t>
        </is>
      </c>
      <c r="D6" t="inlineStr">
        <is>
          <t>Modelo de interproveedores, marca Hacendado</t>
        </is>
      </c>
      <c r="E6" t="inlineStr">
        <is>
          <t>Lo visitas cada semana</t>
        </is>
      </c>
      <c r="F6" t="inlineStr">
        <is>
          <t>¿Quién fabrica realmente los productos Hacendado?</t>
        </is>
      </c>
      <c r="G6" t="inlineStr">
        <is>
          <t>Pregunta que todos se han hecho → respuesta corta → explicación con datos → lo que nadie cuenta</t>
        </is>
      </c>
      <c r="H6" t="inlineStr">
        <is>
          <t>Motion graphics + hemeroteca (citas breves) + fotos de archivo con licencia + gráficos de cifras</t>
        </is>
      </c>
      <c r="I6" t="inlineStr">
        <is>
          <t>M</t>
        </is>
      </c>
      <c r="J6" t="inlineStr">
        <is>
          <t>A</t>
        </is>
      </c>
      <c r="K6" t="inlineStr">
        <is>
          <t>Datos actualizados de cuota (Kantar); no afirmar fabricantes sin fuente</t>
        </is>
      </c>
      <c r="L6" t="inlineStr">
        <is>
          <t>A</t>
        </is>
      </c>
      <c r="M6" t="inlineStr">
        <is>
          <t>A</t>
        </is>
      </c>
      <c r="N6" t="inlineStr">
        <is>
          <t>M</t>
        </is>
      </c>
      <c r="O6" t="n">
        <v>180</v>
      </c>
      <c r="P6" t="inlineStr">
        <is>
          <t>Curiosidad</t>
        </is>
      </c>
      <c r="Q6" t="inlineStr">
        <is>
          <t>M</t>
        </is>
      </c>
      <c r="R6" t="inlineStr">
        <is>
          <t>A</t>
        </is>
      </c>
      <c r="S6" t="inlineStr">
        <is>
          <t>A</t>
        </is>
      </c>
    </row>
    <row r="7">
      <c r="A7" t="n">
        <v>6</v>
      </c>
      <c r="B7" t="inlineStr">
        <is>
          <t>Prioritarios de lanzamiento</t>
        </is>
      </c>
      <c r="C7" t="inlineStr">
        <is>
          <t>Adidas vs Puma: los hermanos que dividieron un pueblo</t>
        </is>
      </c>
      <c r="D7" t="inlineStr">
        <is>
          <t>Hermanos Dassler, Herzogenaurach</t>
        </is>
      </c>
      <c r="E7" t="inlineStr">
        <is>
          <t>Rivalidad con historia humana</t>
        </is>
      </c>
      <c r="F7" t="inlineStr">
        <is>
          <t>Dos hermanos, una fábrica, y un pueblo que dejó de hablarse</t>
        </is>
      </c>
      <c r="G7" t="inlineStr">
        <is>
          <t>La rivalidad en una frase → orígenes paralelos → golpes y contragolpes → quién ganó y por qué → qué queda hoy</t>
        </is>
      </c>
      <c r="H7" t="inlineStr">
        <is>
          <t>Motion graphics propios, fotos de archivo con licencia o dominio público, mapas, líneas de tiempo, productos fotografiados por nosotros</t>
        </is>
      </c>
      <c r="I7" t="inlineStr">
        <is>
          <t>M</t>
        </is>
      </c>
      <c r="J7" t="inlineStr">
        <is>
          <t>A</t>
        </is>
      </c>
      <c r="K7" t="inlineStr">
        <is>
          <t>Verificar fechas y cifras; logotipo solo identificativo</t>
        </is>
      </c>
      <c r="L7" t="inlineStr">
        <is>
          <t>A</t>
        </is>
      </c>
      <c r="M7" t="inlineStr">
        <is>
          <t>A</t>
        </is>
      </c>
      <c r="N7" t="inlineStr">
        <is>
          <t>M</t>
        </is>
      </c>
      <c r="O7" t="n">
        <v>180</v>
      </c>
      <c r="P7" t="inlineStr">
        <is>
          <t>Curiosidad</t>
        </is>
      </c>
      <c r="Q7" t="inlineStr">
        <is>
          <t>M</t>
        </is>
      </c>
      <c r="R7" t="inlineStr">
        <is>
          <t>M</t>
        </is>
      </c>
      <c r="S7" t="inlineStr">
        <is>
          <t>A</t>
        </is>
      </c>
    </row>
    <row r="8">
      <c r="A8" t="n">
        <v>7</v>
      </c>
      <c r="B8" t="inlineStr">
        <is>
          <t>Prioritarios de lanzamiento</t>
        </is>
      </c>
      <c r="C8" t="inlineStr">
        <is>
          <t>Danone nació en Barcelona: la historia que pocos conocen</t>
        </is>
      </c>
      <c r="D8" t="inlineStr">
        <is>
          <t>Isaac Carasso, 1919, el nombre del hijo</t>
        </is>
      </c>
      <c r="E8" t="inlineStr">
        <is>
          <t>Dato sorprendente, orgullo local</t>
        </is>
      </c>
      <c r="F8" t="inlineStr">
        <is>
          <t>El yogur más famoso del mundo tiene apellido catalán… casi</t>
        </is>
      </c>
      <c r="G8" t="inlineStr">
        <is>
          <t>Gancho con el objeto cotidiano → origen → el momento de crisis → la decisión que lo cambió todo → la marca hoy → lección</t>
        </is>
      </c>
      <c r="H8" t="inlineStr">
        <is>
          <t>Motion graphics propios, fotos de archivo con licencia o dominio público, mapas, líneas de tiempo, productos fotografiados por nosotros</t>
        </is>
      </c>
      <c r="I8" t="inlineStr">
        <is>
          <t>M</t>
        </is>
      </c>
      <c r="J8" t="inlineStr">
        <is>
          <t>A</t>
        </is>
      </c>
      <c r="K8" t="inlineStr">
        <is>
          <t>Verificar fechas y cifras; logotipo solo identificativo</t>
        </is>
      </c>
      <c r="L8" t="inlineStr">
        <is>
          <t>A</t>
        </is>
      </c>
      <c r="M8" t="inlineStr">
        <is>
          <t>A</t>
        </is>
      </c>
      <c r="N8" t="inlineStr">
        <is>
          <t>M</t>
        </is>
      </c>
      <c r="O8" t="n">
        <v>180</v>
      </c>
      <c r="P8" t="inlineStr">
        <is>
          <t>Curiosidad</t>
        </is>
      </c>
      <c r="Q8" t="inlineStr">
        <is>
          <t>B</t>
        </is>
      </c>
      <c r="R8" t="inlineStr">
        <is>
          <t>M</t>
        </is>
      </c>
      <c r="S8" t="inlineStr">
        <is>
          <t>A</t>
        </is>
      </c>
    </row>
    <row r="9">
      <c r="A9" t="n">
        <v>8</v>
      </c>
      <c r="B9" t="inlineStr">
        <is>
          <t>Prioritarios de lanzamiento</t>
        </is>
      </c>
      <c r="C9" t="inlineStr">
        <is>
          <t>Nokia: de dominar el mundo a desaparecer de tu bolsillo</t>
        </is>
      </c>
      <c r="D9" t="inlineStr">
        <is>
          <t>Cima en móviles y caída frente al smartphone</t>
        </is>
      </c>
      <c r="E9" t="inlineStr">
        <is>
          <t>Nostalgia (todos tuvimos uno)</t>
        </is>
      </c>
      <c r="F9" t="inlineStr">
        <is>
          <t>En 2007 uno de cada dos móviles era Nokia… y entonces</t>
        </is>
      </c>
      <c r="G9" t="inlineStr">
        <is>
          <t>La cima → las grietas → la decisión fatal → el derrumbe → qué podría haber salvado la empresa</t>
        </is>
      </c>
      <c r="H9" t="inlineStr">
        <is>
          <t>Motion graphics propios, fotos de archivo con licencia o dominio público, mapas, líneas de tiempo, productos fotografiados por nosotros</t>
        </is>
      </c>
      <c r="I9" t="inlineStr">
        <is>
          <t>M</t>
        </is>
      </c>
      <c r="J9" t="inlineStr">
        <is>
          <t>A</t>
        </is>
      </c>
      <c r="K9" t="inlineStr">
        <is>
          <t>Verificar cuotas de mercado históricas</t>
        </is>
      </c>
      <c r="L9" t="inlineStr">
        <is>
          <t>A</t>
        </is>
      </c>
      <c r="M9" t="inlineStr">
        <is>
          <t>A</t>
        </is>
      </c>
      <c r="N9" t="inlineStr">
        <is>
          <t>M</t>
        </is>
      </c>
      <c r="O9" t="n">
        <v>180</v>
      </c>
      <c r="P9" t="inlineStr">
        <is>
          <t>Curiosidad</t>
        </is>
      </c>
      <c r="Q9" t="inlineStr">
        <is>
          <t>A</t>
        </is>
      </c>
      <c r="R9" t="inlineStr">
        <is>
          <t>M</t>
        </is>
      </c>
      <c r="S9" t="inlineStr">
        <is>
          <t>A</t>
        </is>
      </c>
    </row>
    <row r="10">
      <c r="A10" t="n">
        <v>9</v>
      </c>
      <c r="B10" t="inlineStr">
        <is>
          <t>Prioritarios de lanzamiento</t>
        </is>
      </c>
      <c r="C10" t="inlineStr">
        <is>
          <t>Blockbuster vs Netflix: la reunión que pudo cambiar la historia</t>
        </is>
      </c>
      <c r="D10" t="inlineStr">
        <is>
          <t>La oferta de compra rechazada</t>
        </is>
      </c>
      <c r="E10" t="inlineStr">
        <is>
          <t>Mito popular; lección</t>
        </is>
      </c>
      <c r="F10" t="inlineStr">
        <is>
          <t>Netflix se ofreció a Blockbuster. Se rieron</t>
        </is>
      </c>
      <c r="G10" t="inlineStr">
        <is>
          <t>La rivalidad en una frase → orígenes paralelos → golpes y contragolpes → quién ganó y por qué → qué queda hoy</t>
        </is>
      </c>
      <c r="H10" t="inlineStr">
        <is>
          <t>Motion graphics propios, fotos de archivo con licencia o dominio público, mapas, líneas de tiempo, productos fotografiados por nosotros</t>
        </is>
      </c>
      <c r="I10" t="inlineStr">
        <is>
          <t>M</t>
        </is>
      </c>
      <c r="J10" t="inlineStr">
        <is>
          <t>A</t>
        </is>
      </c>
      <c r="K10" t="inlineStr">
        <is>
          <t>Separar mito y hechos documentados</t>
        </is>
      </c>
      <c r="L10" t="inlineStr">
        <is>
          <t>A</t>
        </is>
      </c>
      <c r="M10" t="inlineStr">
        <is>
          <t>A</t>
        </is>
      </c>
      <c r="N10" t="inlineStr">
        <is>
          <t>M</t>
        </is>
      </c>
      <c r="O10" t="n">
        <v>180</v>
      </c>
      <c r="P10" t="inlineStr">
        <is>
          <t>Curiosidad</t>
        </is>
      </c>
      <c r="Q10" t="inlineStr">
        <is>
          <t>A</t>
        </is>
      </c>
      <c r="R10" t="inlineStr">
        <is>
          <t>M</t>
        </is>
      </c>
      <c r="S10" t="inlineStr">
        <is>
          <t>A</t>
        </is>
      </c>
    </row>
    <row r="11">
      <c r="A11" t="n">
        <v>10</v>
      </c>
      <c r="B11" t="inlineStr">
        <is>
          <t>Prioritarios de lanzamiento</t>
        </is>
      </c>
      <c r="C11" t="inlineStr">
        <is>
          <t>Cola Cao vs Nesquik: la guerra del desayuno en España</t>
        </is>
      </c>
      <c r="D11" t="inlineStr">
        <is>
          <t>Dos marcas, dos estilos, la canción del negrito (contexto histórico)</t>
        </is>
      </c>
      <c r="E11" t="inlineStr">
        <is>
          <t>Infancia de todos</t>
        </is>
      </c>
      <c r="F11" t="inlineStr">
        <is>
          <t>La canción que todos conocemos y que hoy no se podría emitir</t>
        </is>
      </c>
      <c r="G11" t="inlineStr">
        <is>
          <t>La rivalidad en una frase → orígenes paralelos → golpes y contragolpes → quién ganó y por qué → qué queda hoy</t>
        </is>
      </c>
      <c r="H11" t="inlineStr">
        <is>
          <t>Motion graphics propios, fotos de archivo con licencia o dominio público, mapas, líneas de tiempo, productos fotografiados por nosotros</t>
        </is>
      </c>
      <c r="I11" t="inlineStr">
        <is>
          <t>M</t>
        </is>
      </c>
      <c r="J11" t="inlineStr">
        <is>
          <t>A</t>
        </is>
      </c>
      <c r="K11" t="inlineStr">
        <is>
          <t>Tratar con rigor el contenido racial histórico</t>
        </is>
      </c>
      <c r="L11" t="inlineStr">
        <is>
          <t>A</t>
        </is>
      </c>
      <c r="M11" t="inlineStr">
        <is>
          <t>A</t>
        </is>
      </c>
      <c r="N11" t="inlineStr">
        <is>
          <t>M</t>
        </is>
      </c>
      <c r="O11" t="n">
        <v>180</v>
      </c>
      <c r="P11" t="inlineStr">
        <is>
          <t>Curiosidad</t>
        </is>
      </c>
      <c r="Q11" t="inlineStr">
        <is>
          <t>B</t>
        </is>
      </c>
      <c r="R11" t="inlineStr">
        <is>
          <t>M</t>
        </is>
      </c>
      <c r="S11" t="inlineStr">
        <is>
          <t>A</t>
        </is>
      </c>
    </row>
    <row r="12">
      <c r="A12" t="n">
        <v>11</v>
      </c>
      <c r="B12" t="inlineStr">
        <is>
          <t>Prioritarios de lanzamiento</t>
        </is>
      </c>
      <c r="C12" t="inlineStr">
        <is>
          <t>Por qué la leche está al fondo del supermercado (y otros trucos)</t>
        </is>
      </c>
      <c r="D12" t="inlineStr">
        <is>
          <t>Diseño de tiendas y psicología del consumidor</t>
        </is>
      </c>
      <c r="E12" t="inlineStr">
        <is>
          <t>Utilidad + curiosidad</t>
        </is>
      </c>
      <c r="F12" t="inlineStr">
        <is>
          <t>No es casualidad que tengas que cruzar toda la tienda</t>
        </is>
      </c>
      <c r="G12" t="inlineStr">
        <is>
          <t>Pregunta que todos se han hecho → respuesta corta → explicación con datos → lo que nadie cuenta</t>
        </is>
      </c>
      <c r="H12" t="inlineStr">
        <is>
          <t>Motion graphics propios, fotos de archivo con licencia o dominio público, mapas, líneas de tiempo, productos fotografiados por nosotros</t>
        </is>
      </c>
      <c r="I12" t="inlineStr">
        <is>
          <t>M</t>
        </is>
      </c>
      <c r="J12" t="inlineStr">
        <is>
          <t>A</t>
        </is>
      </c>
      <c r="K12" t="inlineStr">
        <is>
          <t>Usar estudios citados; evitar mitos</t>
        </is>
      </c>
      <c r="L12" t="inlineStr">
        <is>
          <t>A</t>
        </is>
      </c>
      <c r="M12" t="inlineStr">
        <is>
          <t>A</t>
        </is>
      </c>
      <c r="N12" t="inlineStr">
        <is>
          <t>M</t>
        </is>
      </c>
      <c r="O12" t="n">
        <v>180</v>
      </c>
      <c r="P12" t="inlineStr">
        <is>
          <t>Curiosidad</t>
        </is>
      </c>
      <c r="Q12" t="inlineStr">
        <is>
          <t>M</t>
        </is>
      </c>
      <c r="R12" t="inlineStr">
        <is>
          <t>M</t>
        </is>
      </c>
      <c r="S12" t="inlineStr">
        <is>
          <t>A</t>
        </is>
      </c>
    </row>
    <row r="13">
      <c r="A13" t="n">
        <v>12</v>
      </c>
      <c r="B13" t="inlineStr">
        <is>
          <t>Prioritarios de lanzamiento</t>
        </is>
      </c>
      <c r="C13" t="inlineStr">
        <is>
          <t>LEGO: la empresa que casi quiebra por fabricar demasiados juguetes</t>
        </is>
      </c>
      <c r="D13" t="inlineStr">
        <is>
          <t>Crisis de 2003-2004 y recuperación</t>
        </is>
      </c>
      <c r="E13" t="inlineStr">
        <is>
          <t>Marca querida</t>
        </is>
      </c>
      <c r="F13" t="inlineStr">
        <is>
          <t>En 2003 LEGO perdía dinero con cada pieza que vendía</t>
        </is>
      </c>
      <c r="G13" t="inlineStr">
        <is>
          <t>La cima → las grietas → la decisión fatal → el derrumbe → qué podría haber salvado la empresa</t>
        </is>
      </c>
      <c r="H13" t="inlineStr">
        <is>
          <t>Motion graphics propios, fotos de archivo con licencia o dominio público, mapas, líneas de tiempo, productos fotografiados por nosotros</t>
        </is>
      </c>
      <c r="I13" t="inlineStr">
        <is>
          <t>M</t>
        </is>
      </c>
      <c r="J13" t="inlineStr">
        <is>
          <t>A</t>
        </is>
      </c>
      <c r="K13" t="inlineStr">
        <is>
          <t>Verificar fechas y cifras; logotipo solo identificativo</t>
        </is>
      </c>
      <c r="L13" t="inlineStr">
        <is>
          <t>A</t>
        </is>
      </c>
      <c r="M13" t="inlineStr">
        <is>
          <t>A</t>
        </is>
      </c>
      <c r="N13" t="inlineStr">
        <is>
          <t>M</t>
        </is>
      </c>
      <c r="O13" t="n">
        <v>180</v>
      </c>
      <c r="P13" t="inlineStr">
        <is>
          <t>Curiosidad</t>
        </is>
      </c>
      <c r="Q13" t="inlineStr">
        <is>
          <t>M</t>
        </is>
      </c>
      <c r="R13" t="inlineStr">
        <is>
          <t>M</t>
        </is>
      </c>
      <c r="S13" t="inlineStr">
        <is>
          <t>A</t>
        </is>
      </c>
    </row>
    <row r="14">
      <c r="A14" t="n">
        <v>13</v>
      </c>
      <c r="B14" t="inlineStr">
        <is>
          <t>Prioritarios de lanzamiento</t>
        </is>
      </c>
      <c r="C14" t="inlineStr">
        <is>
          <t>IKEA: por qué sus muebles tienen nombres suecos raros</t>
        </is>
      </c>
      <c r="D14" t="inlineStr">
        <is>
          <t>Sistema de nombres, Kamprad, el modelo de autoservicio</t>
        </is>
      </c>
      <c r="E14" t="inlineStr">
        <is>
          <t>Pregunta que todos se han hecho</t>
        </is>
      </c>
      <c r="F14" t="inlineStr">
        <is>
          <t>BILLY, KALLAX, POÄNG… hay un sistema</t>
        </is>
      </c>
      <c r="G14" t="inlineStr">
        <is>
          <t>Pregunta que todos se han hecho → respuesta corta → explicación con datos → lo que nadie cuenta</t>
        </is>
      </c>
      <c r="H14" t="inlineStr">
        <is>
          <t>Motion graphics propios, fotos de archivo con licencia o dominio público, mapas, líneas de tiempo, productos fotografiados por nosotros</t>
        </is>
      </c>
      <c r="I14" t="inlineStr">
        <is>
          <t>M</t>
        </is>
      </c>
      <c r="J14" t="inlineStr">
        <is>
          <t>A</t>
        </is>
      </c>
      <c r="K14" t="inlineStr">
        <is>
          <t>Verificar fechas y cifras; logotipo solo identificativo</t>
        </is>
      </c>
      <c r="L14" t="inlineStr">
        <is>
          <t>A</t>
        </is>
      </c>
      <c r="M14" t="inlineStr">
        <is>
          <t>A</t>
        </is>
      </c>
      <c r="N14" t="inlineStr">
        <is>
          <t>M</t>
        </is>
      </c>
      <c r="O14" t="n">
        <v>180</v>
      </c>
      <c r="P14" t="inlineStr">
        <is>
          <t>Curiosidad</t>
        </is>
      </c>
      <c r="Q14" t="inlineStr">
        <is>
          <t>M</t>
        </is>
      </c>
      <c r="R14" t="inlineStr">
        <is>
          <t>M</t>
        </is>
      </c>
      <c r="S14" t="inlineStr">
        <is>
          <t>A</t>
        </is>
      </c>
    </row>
    <row r="15">
      <c r="A15" t="n">
        <v>14</v>
      </c>
      <c r="B15" t="inlineStr">
        <is>
          <t>Prioritarios de lanzamiento</t>
        </is>
      </c>
      <c r="C15" t="inlineStr">
        <is>
          <t>Telepizza: auge y caída de la pizza española</t>
        </is>
      </c>
      <c r="D15" t="inlineStr">
        <is>
          <t>Del éxito a la competencia global (V)</t>
        </is>
      </c>
      <c r="E15" t="inlineStr">
        <is>
          <t>Nostalgia española</t>
        </is>
      </c>
      <c r="F15" t="inlineStr">
        <is>
          <t>Hubo un momento en que Telepizza vendía más que nadie en España</t>
        </is>
      </c>
      <c r="G15" t="inlineStr">
        <is>
          <t>La cima → las grietas → la decisión fatal → el derrumbe → qué podría haber salvado la empresa</t>
        </is>
      </c>
      <c r="H15" t="inlineStr">
        <is>
          <t>Motion graphics + hemeroteca (citas breves) + fotos de archivo con licencia + gráficos de cifras</t>
        </is>
      </c>
      <c r="I15" t="inlineStr">
        <is>
          <t>M</t>
        </is>
      </c>
      <c r="J15" t="inlineStr">
        <is>
          <t>A</t>
        </is>
      </c>
      <c r="K15" t="inlineStr">
        <is>
          <t>Verificar fechas y cifras; logotipo solo identificativo</t>
        </is>
      </c>
      <c r="L15" t="inlineStr">
        <is>
          <t>A</t>
        </is>
      </c>
      <c r="M15" t="inlineStr">
        <is>
          <t>A</t>
        </is>
      </c>
      <c r="N15" t="inlineStr">
        <is>
          <t>M</t>
        </is>
      </c>
      <c r="O15" t="n">
        <v>180</v>
      </c>
      <c r="P15" t="inlineStr">
        <is>
          <t>Curiosidad</t>
        </is>
      </c>
      <c r="Q15" t="inlineStr">
        <is>
          <t>B</t>
        </is>
      </c>
      <c r="R15" t="inlineStr">
        <is>
          <t>M</t>
        </is>
      </c>
      <c r="S15" t="inlineStr">
        <is>
          <t>A</t>
        </is>
      </c>
    </row>
    <row r="16">
      <c r="A16" t="n">
        <v>15</v>
      </c>
      <c r="B16" t="inlineStr">
        <is>
          <t>Prioritarios de lanzamiento</t>
        </is>
      </c>
      <c r="C16" t="inlineStr">
        <is>
          <t>Fanta se inventó en la Alemania nazi: la historia completa</t>
        </is>
      </c>
      <c r="D16" t="inlineStr">
        <is>
          <t>Escasez de jarabe en la II Guerra Mundial</t>
        </is>
      </c>
      <c r="E16" t="inlineStr">
        <is>
          <t>Dato chocante, muy compartible</t>
        </is>
      </c>
      <c r="F16" t="inlineStr">
        <is>
          <t>La Fanta nació porque a Alemania no llegaba Coca-Cola</t>
        </is>
      </c>
      <c r="G16" t="inlineStr">
        <is>
          <t>Gancho con el objeto cotidiano → origen → el momento de crisis → la decisión que lo cambió todo → la marca hoy → lección</t>
        </is>
      </c>
      <c r="H16" t="inlineStr">
        <is>
          <t>Motion graphics propios, fotos de archivo con licencia o dominio público, mapas, líneas de tiempo, productos fotografiados por nosotros</t>
        </is>
      </c>
      <c r="I16" t="inlineStr">
        <is>
          <t>M</t>
        </is>
      </c>
      <c r="J16" t="inlineStr">
        <is>
          <t>A</t>
        </is>
      </c>
      <c r="K16" t="inlineStr">
        <is>
          <t>Rigor histórico; evitar sensacionalismo</t>
        </is>
      </c>
      <c r="L16" t="inlineStr">
        <is>
          <t>A</t>
        </is>
      </c>
      <c r="M16" t="inlineStr">
        <is>
          <t>A</t>
        </is>
      </c>
      <c r="N16" t="inlineStr">
        <is>
          <t>M</t>
        </is>
      </c>
      <c r="O16" t="n">
        <v>180</v>
      </c>
      <c r="P16" t="inlineStr">
        <is>
          <t>Curiosidad</t>
        </is>
      </c>
      <c r="Q16" t="inlineStr">
        <is>
          <t>M</t>
        </is>
      </c>
      <c r="R16" t="inlineStr">
        <is>
          <t>M</t>
        </is>
      </c>
      <c r="S16" t="inlineStr">
        <is>
          <t>A</t>
        </is>
      </c>
    </row>
    <row r="17">
      <c r="A17" t="n">
        <v>16</v>
      </c>
      <c r="B17" t="inlineStr">
        <is>
          <t>Prioritarios de lanzamiento</t>
        </is>
      </c>
      <c r="C17" t="inlineStr">
        <is>
          <t>Nintendo tenía 100 años antes de Mario</t>
        </is>
      </c>
      <c r="D17" t="inlineStr">
        <is>
          <t>Cartas hanafuda, hoteles, taxis…</t>
        </is>
      </c>
      <c r="E17" t="inlineStr">
        <is>
          <t>Gamers + público general</t>
        </is>
      </c>
      <c r="F17" t="inlineStr">
        <is>
          <t>Nintendo empezó vendiendo cartas en 1889</t>
        </is>
      </c>
      <c r="G17" t="inlineStr">
        <is>
          <t>Gancho con el objeto cotidiano → origen → el momento de crisis → la decisión que lo cambió todo → la marca hoy → lección</t>
        </is>
      </c>
      <c r="H17" t="inlineStr">
        <is>
          <t>Motion graphics propios, fotos de archivo con licencia o dominio público, mapas, líneas de tiempo, productos fotografiados por nosotros</t>
        </is>
      </c>
      <c r="I17" t="inlineStr">
        <is>
          <t>M</t>
        </is>
      </c>
      <c r="J17" t="inlineStr">
        <is>
          <t>A</t>
        </is>
      </c>
      <c r="K17" t="inlineStr">
        <is>
          <t>Verificar fechas y cifras; logotipo solo identificativo</t>
        </is>
      </c>
      <c r="L17" t="inlineStr">
        <is>
          <t>A</t>
        </is>
      </c>
      <c r="M17" t="inlineStr">
        <is>
          <t>A</t>
        </is>
      </c>
      <c r="N17" t="inlineStr">
        <is>
          <t>M</t>
        </is>
      </c>
      <c r="O17" t="n">
        <v>180</v>
      </c>
      <c r="P17" t="inlineStr">
        <is>
          <t>Curiosidad</t>
        </is>
      </c>
      <c r="Q17" t="inlineStr">
        <is>
          <t>M</t>
        </is>
      </c>
      <c r="R17" t="inlineStr">
        <is>
          <t>M</t>
        </is>
      </c>
      <c r="S17" t="inlineStr">
        <is>
          <t>A</t>
        </is>
      </c>
    </row>
    <row r="18">
      <c r="A18" t="n">
        <v>17</v>
      </c>
      <c r="B18" t="inlineStr">
        <is>
          <t>Prioritarios de lanzamiento</t>
        </is>
      </c>
      <c r="C18" t="inlineStr">
        <is>
          <t>Inventos que nacieron por accidente (y hoy usas cada día)</t>
        </is>
      </c>
      <c r="D18" t="inlineStr">
        <is>
          <t>Post-it, microondas, Coca-Cola, etc.</t>
        </is>
      </c>
      <c r="E18" t="inlineStr">
        <is>
          <t>Formato lista muy clicable</t>
        </is>
      </c>
      <c r="F18" t="inlineStr">
        <is>
          <t>El Post-it fue un pegamento que salió mal</t>
        </is>
      </c>
      <c r="G18" t="inlineStr">
        <is>
          <t>Pregunta → 5-7 casos ordenados de menos a más sorprendente → patrón común</t>
        </is>
      </c>
      <c r="H18" t="inlineStr">
        <is>
          <t>Motion graphics propios, fotos de archivo con licencia o dominio público, mapas, líneas de tiempo, productos fotografiados por nosotros</t>
        </is>
      </c>
      <c r="I18" t="inlineStr">
        <is>
          <t>M</t>
        </is>
      </c>
      <c r="J18" t="inlineStr">
        <is>
          <t>A</t>
        </is>
      </c>
      <c r="K18" t="inlineStr">
        <is>
          <t>Verificar cada caso; descartar los apócrifos</t>
        </is>
      </c>
      <c r="L18" t="inlineStr">
        <is>
          <t>A</t>
        </is>
      </c>
      <c r="M18" t="inlineStr">
        <is>
          <t>A</t>
        </is>
      </c>
      <c r="N18" t="inlineStr">
        <is>
          <t>M</t>
        </is>
      </c>
      <c r="O18" t="n">
        <v>180</v>
      </c>
      <c r="P18" t="inlineStr">
        <is>
          <t>Curiosidad</t>
        </is>
      </c>
      <c r="Q18" t="inlineStr">
        <is>
          <t>A</t>
        </is>
      </c>
      <c r="R18" t="inlineStr">
        <is>
          <t>M</t>
        </is>
      </c>
      <c r="S18" t="inlineStr">
        <is>
          <t>A</t>
        </is>
      </c>
    </row>
    <row r="19">
      <c r="A19" t="n">
        <v>18</v>
      </c>
      <c r="B19" t="inlineStr">
        <is>
          <t>Prioritarios de lanzamiento</t>
        </is>
      </c>
      <c r="C19" t="inlineStr">
        <is>
          <t>Pescanova: el fraude que hundió a un gigante del mar</t>
        </is>
      </c>
      <c r="D19" t="inlineStr">
        <is>
          <t>Contabilidad falsa, concurso de acreedores, juicio</t>
        </is>
      </c>
      <c r="E19" t="inlineStr">
        <is>
          <t>Escándalo español</t>
        </is>
      </c>
      <c r="F19" t="inlineStr">
        <is>
          <t>La empresa que todos tenían en el congelador escondía una deuda enorme</t>
        </is>
      </c>
      <c r="G19" t="inlineStr">
        <is>
          <t>La cima → las grietas → la decisión fatal → el derrumbe → qué podría haber salvado la empresa</t>
        </is>
      </c>
      <c r="H19" t="inlineStr">
        <is>
          <t>Motion graphics + hemeroteca (citas breves) + fotos de archivo con licencia + gráficos de cifras</t>
        </is>
      </c>
      <c r="I19" t="inlineStr">
        <is>
          <t>M</t>
        </is>
      </c>
      <c r="J19" t="inlineStr">
        <is>
          <t>A</t>
        </is>
      </c>
      <c r="K19" t="inlineStr">
        <is>
          <t>Ceñirse a sentencias firmes (derecho al honor)</t>
        </is>
      </c>
      <c r="L19" t="inlineStr">
        <is>
          <t>A</t>
        </is>
      </c>
      <c r="M19" t="inlineStr">
        <is>
          <t>A</t>
        </is>
      </c>
      <c r="N19" t="inlineStr">
        <is>
          <t>M</t>
        </is>
      </c>
      <c r="O19" t="n">
        <v>180</v>
      </c>
      <c r="P19" t="inlineStr">
        <is>
          <t>Curiosidad</t>
        </is>
      </c>
      <c r="Q19" t="inlineStr">
        <is>
          <t>B</t>
        </is>
      </c>
      <c r="R19" t="inlineStr">
        <is>
          <t>M</t>
        </is>
      </c>
      <c r="S19" t="inlineStr">
        <is>
          <t>A</t>
        </is>
      </c>
    </row>
    <row r="20">
      <c r="A20" t="n">
        <v>19</v>
      </c>
      <c r="B20" t="inlineStr">
        <is>
          <t>Prioritarios de lanzamiento</t>
        </is>
      </c>
      <c r="C20" t="inlineStr">
        <is>
          <t>Red Bull no vende bebidas: vende otra cosa</t>
        </is>
      </c>
      <c r="D20" t="inlineStr">
        <is>
          <t>Modelo de marketing y deportes extremos</t>
        </is>
      </c>
      <c r="E20" t="inlineStr">
        <is>
          <t>Marca juvenil</t>
        </is>
      </c>
      <c r="F20" t="inlineStr">
        <is>
          <t>Red Bull tiene más vídeos que latas en tu nevera… casi</t>
        </is>
      </c>
      <c r="G20" t="inlineStr">
        <is>
          <t>Pregunta que todos se han hecho → respuesta corta → explicación con datos → lo que nadie cuenta</t>
        </is>
      </c>
      <c r="H20" t="inlineStr">
        <is>
          <t>Motion graphics propios, fotos de archivo con licencia o dominio público, mapas, líneas de tiempo, productos fotografiados por nosotros</t>
        </is>
      </c>
      <c r="I20" t="inlineStr">
        <is>
          <t>M</t>
        </is>
      </c>
      <c r="J20" t="inlineStr">
        <is>
          <t>A</t>
        </is>
      </c>
      <c r="K20" t="inlineStr">
        <is>
          <t>Verificar fechas y cifras; logotipo solo identificativo</t>
        </is>
      </c>
      <c r="L20" t="inlineStr">
        <is>
          <t>A</t>
        </is>
      </c>
      <c r="M20" t="inlineStr">
        <is>
          <t>A</t>
        </is>
      </c>
      <c r="N20" t="inlineStr">
        <is>
          <t>M</t>
        </is>
      </c>
      <c r="O20" t="n">
        <v>180</v>
      </c>
      <c r="P20" t="inlineStr">
        <is>
          <t>Curiosidad</t>
        </is>
      </c>
      <c r="Q20" t="inlineStr">
        <is>
          <t>M</t>
        </is>
      </c>
      <c r="R20" t="inlineStr">
        <is>
          <t>M</t>
        </is>
      </c>
      <c r="S20" t="inlineStr">
        <is>
          <t>A</t>
        </is>
      </c>
    </row>
    <row r="21">
      <c r="A21" t="n">
        <v>20</v>
      </c>
      <c r="B21" t="inlineStr">
        <is>
          <t>Prioritarios de lanzamiento</t>
        </is>
      </c>
      <c r="C21" t="inlineStr">
        <is>
          <t>Las marcas blancas: ¿son lo mismo que las de marca? (V)</t>
        </is>
      </c>
      <c r="D21" t="inlineStr">
        <is>
          <t>Cómo funcionan, quién fabrica, qué dice la ley de etiquetado</t>
        </is>
      </c>
      <c r="E21" t="inlineStr">
        <is>
          <t>Ahorro + curiosidad</t>
        </is>
      </c>
      <c r="F21" t="inlineStr">
        <is>
          <t>Mismo producto, distinta caja. ¿Seguro?</t>
        </is>
      </c>
      <c r="G21" t="inlineStr">
        <is>
          <t>Pregunta que todos se han hecho → respuesta corta → explicación con datos → lo que nadie cuenta</t>
        </is>
      </c>
      <c r="H21" t="inlineStr">
        <is>
          <t>Motion graphics propios, fotos de archivo con licencia o dominio público, mapas, líneas de tiempo, productos fotografiados por nosotros</t>
        </is>
      </c>
      <c r="I21" t="inlineStr">
        <is>
          <t>M</t>
        </is>
      </c>
      <c r="J21" t="inlineStr">
        <is>
          <t>A</t>
        </is>
      </c>
      <c r="K21" t="inlineStr">
        <is>
          <t>No afirmar fabricantes sin prueba; código de envasador</t>
        </is>
      </c>
      <c r="L21" t="inlineStr">
        <is>
          <t>A</t>
        </is>
      </c>
      <c r="M21" t="inlineStr">
        <is>
          <t>A</t>
        </is>
      </c>
      <c r="N21" t="inlineStr">
        <is>
          <t>M</t>
        </is>
      </c>
      <c r="O21" t="n">
        <v>180</v>
      </c>
      <c r="P21" t="inlineStr">
        <is>
          <t>Curiosidad</t>
        </is>
      </c>
      <c r="Q21" t="inlineStr">
        <is>
          <t>M</t>
        </is>
      </c>
      <c r="R21" t="inlineStr">
        <is>
          <t>A</t>
        </is>
      </c>
      <c r="S21" t="inlineStr">
        <is>
          <t>A</t>
        </is>
      </c>
    </row>
    <row r="22">
      <c r="A22" t="n">
        <v>21</v>
      </c>
      <c r="B22" t="inlineStr">
        <is>
          <t>Evergreen</t>
        </is>
      </c>
      <c r="C22" t="inlineStr">
        <is>
          <t>McDonald's: la verdadera historia (no la de la película)</t>
        </is>
      </c>
      <c r="D22" t="inlineStr">
        <is>
          <t>Hermanos McDonald y Ray Kroc</t>
        </is>
      </c>
      <c r="E22" t="inlineStr">
        <is>
          <t>Marca universal</t>
        </is>
      </c>
      <c r="F22" t="inlineStr">
        <is>
          <t>Los McDonald no fundaron McDonald's como la conoces</t>
        </is>
      </c>
      <c r="G22" t="inlineStr">
        <is>
          <t>Gancho con el objeto cotidiano → origen → el momento de crisis → la decisión que lo cambió todo → la marca hoy → lección</t>
        </is>
      </c>
      <c r="H22" t="inlineStr">
        <is>
          <t>Motion graphics propios, fotos de archivo con licencia o dominio público, mapas, líneas de tiempo, productos fotografiados por nosotros</t>
        </is>
      </c>
      <c r="I22" t="inlineStr">
        <is>
          <t>M</t>
        </is>
      </c>
      <c r="J22" t="inlineStr">
        <is>
          <t>A</t>
        </is>
      </c>
      <c r="K22" t="inlineStr">
        <is>
          <t>Verificar fechas y cifras; logotipo solo identificativo</t>
        </is>
      </c>
      <c r="L22" t="inlineStr">
        <is>
          <t>A</t>
        </is>
      </c>
      <c r="M22" t="inlineStr">
        <is>
          <t>A</t>
        </is>
      </c>
      <c r="N22" t="inlineStr">
        <is>
          <t>M</t>
        </is>
      </c>
      <c r="O22" t="n">
        <v>180</v>
      </c>
      <c r="P22" t="inlineStr">
        <is>
          <t>Curiosidad</t>
        </is>
      </c>
      <c r="Q22" t="inlineStr">
        <is>
          <t>A</t>
        </is>
      </c>
      <c r="R22" t="inlineStr">
        <is>
          <t>M</t>
        </is>
      </c>
      <c r="S22" t="inlineStr">
        <is>
          <t>A</t>
        </is>
      </c>
    </row>
    <row r="23">
      <c r="A23" t="n">
        <v>22</v>
      </c>
      <c r="B23" t="inlineStr">
        <is>
          <t>Evergreen</t>
        </is>
      </c>
      <c r="C23" t="inlineStr">
        <is>
          <t>Apple: por qué el logotipo es una manzana mordida</t>
        </is>
      </c>
      <c r="D23" t="inlineStr">
        <is>
          <t>Del Newton al diseño de Rob Janoff</t>
        </is>
      </c>
      <c r="E23" t="inlineStr">
        <is>
          <t>Pregunta común</t>
        </is>
      </c>
      <c r="F23" t="inlineStr">
        <is>
          <t>No es por Newton. O sí, al principio</t>
        </is>
      </c>
      <c r="G23" t="inlineStr">
        <is>
          <t>Pregunta que todos se han hecho → respuesta corta → explicación con datos → lo que nadie cuenta</t>
        </is>
      </c>
      <c r="H23" t="inlineStr">
        <is>
          <t>Motion graphics propios, fotos de archivo con licencia o dominio público, mapas, líneas de tiempo, productos fotografiados por nosotros</t>
        </is>
      </c>
      <c r="I23" t="inlineStr">
        <is>
          <t>M</t>
        </is>
      </c>
      <c r="J23" t="inlineStr">
        <is>
          <t>A</t>
        </is>
      </c>
      <c r="K23" t="inlineStr">
        <is>
          <t>Verificar fechas y cifras; logotipo solo identificativo</t>
        </is>
      </c>
      <c r="L23" t="inlineStr">
        <is>
          <t>A</t>
        </is>
      </c>
      <c r="M23" t="inlineStr">
        <is>
          <t>A</t>
        </is>
      </c>
      <c r="N23" t="inlineStr">
        <is>
          <t>M</t>
        </is>
      </c>
      <c r="O23" t="n">
        <v>180</v>
      </c>
      <c r="P23" t="inlineStr">
        <is>
          <t>Curiosidad</t>
        </is>
      </c>
      <c r="Q23" t="inlineStr">
        <is>
          <t>A</t>
        </is>
      </c>
      <c r="R23" t="inlineStr">
        <is>
          <t>M</t>
        </is>
      </c>
      <c r="S23" t="inlineStr">
        <is>
          <t>A</t>
        </is>
      </c>
    </row>
    <row r="24">
      <c r="A24" t="n">
        <v>23</v>
      </c>
      <c r="B24" t="inlineStr">
        <is>
          <t>Evergreen</t>
        </is>
      </c>
      <c r="C24" t="inlineStr">
        <is>
          <t>El Corte Inglés: el gran almacén que España no deja de visitar (V)</t>
        </is>
      </c>
      <c r="D24" t="inlineStr">
        <is>
          <t>Ramón Areces, Galerías Preciados, rivalidad</t>
        </is>
      </c>
      <c r="E24" t="inlineStr">
        <is>
          <t>Institución española</t>
        </is>
      </c>
      <c r="F24" t="inlineStr">
        <is>
          <t>Hubo una guerra de grandes almacenes en Madrid</t>
        </is>
      </c>
      <c r="G24" t="inlineStr">
        <is>
          <t>La rivalidad en una frase → orígenes paralelos → golpes y contragolpes → quién ganó y por qué → qué queda hoy</t>
        </is>
      </c>
      <c r="H24" t="inlineStr">
        <is>
          <t>Motion graphics + hemeroteca (citas breves) + fotos de archivo con licencia + gráficos de cifras</t>
        </is>
      </c>
      <c r="I24" t="inlineStr">
        <is>
          <t>M</t>
        </is>
      </c>
      <c r="J24" t="inlineStr">
        <is>
          <t>A</t>
        </is>
      </c>
      <c r="K24" t="inlineStr">
        <is>
          <t>Verificar fechas y cifras; logotipo solo identificativo</t>
        </is>
      </c>
      <c r="L24" t="inlineStr">
        <is>
          <t>A</t>
        </is>
      </c>
      <c r="M24" t="inlineStr">
        <is>
          <t>A</t>
        </is>
      </c>
      <c r="N24" t="inlineStr">
        <is>
          <t>M</t>
        </is>
      </c>
      <c r="O24" t="n">
        <v>180</v>
      </c>
      <c r="P24" t="inlineStr">
        <is>
          <t>Curiosidad</t>
        </is>
      </c>
      <c r="Q24" t="inlineStr">
        <is>
          <t>B</t>
        </is>
      </c>
      <c r="R24" t="inlineStr">
        <is>
          <t>M</t>
        </is>
      </c>
      <c r="S24" t="inlineStr">
        <is>
          <t>A</t>
        </is>
      </c>
    </row>
    <row r="25">
      <c r="A25" t="n">
        <v>24</v>
      </c>
      <c r="B25" t="inlineStr">
        <is>
          <t>Evergreen</t>
        </is>
      </c>
      <c r="C25" t="inlineStr">
        <is>
          <t>Nutella vs Nocilla: la crema que inventó la escasez</t>
        </is>
      </c>
      <c r="D25" t="inlineStr">
        <is>
          <t>Ferrero en la posguerra, Nocilla española</t>
        </is>
      </c>
      <c r="E25" t="inlineStr">
        <is>
          <t>Infancia</t>
        </is>
      </c>
      <c r="F25" t="inlineStr">
        <is>
          <t>Nutella nació porque el chocolate era demasiado caro</t>
        </is>
      </c>
      <c r="G25" t="inlineStr">
        <is>
          <t>La rivalidad en una frase → orígenes paralelos → golpes y contragolpes → quién ganó y por qué → qué queda hoy</t>
        </is>
      </c>
      <c r="H25" t="inlineStr">
        <is>
          <t>Motion graphics propios, fotos de archivo con licencia o dominio público, mapas, líneas de tiempo, productos fotografiados por nosotros</t>
        </is>
      </c>
      <c r="I25" t="inlineStr">
        <is>
          <t>M</t>
        </is>
      </c>
      <c r="J25" t="inlineStr">
        <is>
          <t>A</t>
        </is>
      </c>
      <c r="K25" t="inlineStr">
        <is>
          <t>Verificar fechas y cifras; logotipo solo identificativo</t>
        </is>
      </c>
      <c r="L25" t="inlineStr">
        <is>
          <t>A</t>
        </is>
      </c>
      <c r="M25" t="inlineStr">
        <is>
          <t>A</t>
        </is>
      </c>
      <c r="N25" t="inlineStr">
        <is>
          <t>M</t>
        </is>
      </c>
      <c r="O25" t="n">
        <v>180</v>
      </c>
      <c r="P25" t="inlineStr">
        <is>
          <t>Curiosidad</t>
        </is>
      </c>
      <c r="Q25" t="inlineStr">
        <is>
          <t>B</t>
        </is>
      </c>
      <c r="R25" t="inlineStr">
        <is>
          <t>M</t>
        </is>
      </c>
      <c r="S25" t="inlineStr">
        <is>
          <t>A</t>
        </is>
      </c>
    </row>
    <row r="26">
      <c r="A26" t="n">
        <v>25</v>
      </c>
      <c r="B26" t="inlineStr">
        <is>
          <t>Evergreen</t>
        </is>
      </c>
      <c r="C26" t="inlineStr">
        <is>
          <t>Kinder Sorpresa: por qué está prohibido en Estados Unidos</t>
        </is>
      </c>
      <c r="D26" t="inlineStr">
        <is>
          <t>Normativa sobre juguetes en alimentos</t>
        </is>
      </c>
      <c r="E26" t="inlineStr">
        <is>
          <t>Dato sorprendente</t>
        </is>
      </c>
      <c r="F26" t="inlineStr">
        <is>
          <t>En EE. UU. llevar un Kinder Sorpresa podía causar problemas en la aduana</t>
        </is>
      </c>
      <c r="G26" t="inlineStr">
        <is>
          <t>Pregunta que todos se han hecho → respuesta corta → explicación con datos → lo que nadie cuenta</t>
        </is>
      </c>
      <c r="H26" t="inlineStr">
        <is>
          <t>Motion graphics propios, fotos de archivo con licencia o dominio público, mapas, líneas de tiempo, productos fotografiados por nosotros</t>
        </is>
      </c>
      <c r="I26" t="inlineStr">
        <is>
          <t>M</t>
        </is>
      </c>
      <c r="J26" t="inlineStr">
        <is>
          <t>A</t>
        </is>
      </c>
      <c r="K26" t="inlineStr">
        <is>
          <t>Verificar normativa vigente</t>
        </is>
      </c>
      <c r="L26" t="inlineStr">
        <is>
          <t>A</t>
        </is>
      </c>
      <c r="M26" t="inlineStr">
        <is>
          <t>A</t>
        </is>
      </c>
      <c r="N26" t="inlineStr">
        <is>
          <t>M</t>
        </is>
      </c>
      <c r="O26" t="n">
        <v>180</v>
      </c>
      <c r="P26" t="inlineStr">
        <is>
          <t>Curiosidad</t>
        </is>
      </c>
      <c r="Q26" t="inlineStr">
        <is>
          <t>M</t>
        </is>
      </c>
      <c r="R26" t="inlineStr">
        <is>
          <t>M</t>
        </is>
      </c>
      <c r="S26" t="inlineStr">
        <is>
          <t>A</t>
        </is>
      </c>
    </row>
    <row r="27">
      <c r="A27" t="n">
        <v>26</v>
      </c>
      <c r="B27" t="inlineStr">
        <is>
          <t>Evergreen</t>
        </is>
      </c>
      <c r="C27" t="inlineStr">
        <is>
          <t>Pepsi casi compra Coca-Cola… y Coca-Cola casi compra Pepsi</t>
        </is>
      </c>
      <c r="D27" t="inlineStr">
        <is>
          <t>Episodios de quiebra de Pepsi</t>
        </is>
      </c>
      <c r="E27" t="inlineStr">
        <is>
          <t>Rivalidad eterna</t>
        </is>
      </c>
      <c r="F27" t="inlineStr">
        <is>
          <t>Pepsi quebró más de una vez antes de ser Pepsi</t>
        </is>
      </c>
      <c r="G27" t="inlineStr">
        <is>
          <t>La rivalidad en una frase → orígenes paralelos → golpes y contragolpes → quién ganó y por qué → qué queda hoy</t>
        </is>
      </c>
      <c r="H27" t="inlineStr">
        <is>
          <t>Motion graphics propios, fotos de archivo con licencia o dominio público, mapas, líneas de tiempo, productos fotografiados por nosotros</t>
        </is>
      </c>
      <c r="I27" t="inlineStr">
        <is>
          <t>M</t>
        </is>
      </c>
      <c r="J27" t="inlineStr">
        <is>
          <t>A</t>
        </is>
      </c>
      <c r="K27" t="inlineStr">
        <is>
          <t>Verificar episodios con fuentes</t>
        </is>
      </c>
      <c r="L27" t="inlineStr">
        <is>
          <t>A</t>
        </is>
      </c>
      <c r="M27" t="inlineStr">
        <is>
          <t>A</t>
        </is>
      </c>
      <c r="N27" t="inlineStr">
        <is>
          <t>M</t>
        </is>
      </c>
      <c r="O27" t="n">
        <v>180</v>
      </c>
      <c r="P27" t="inlineStr">
        <is>
          <t>Curiosidad</t>
        </is>
      </c>
      <c r="Q27" t="inlineStr">
        <is>
          <t>M</t>
        </is>
      </c>
      <c r="R27" t="inlineStr">
        <is>
          <t>M</t>
        </is>
      </c>
      <c r="S27" t="inlineStr">
        <is>
          <t>A</t>
        </is>
      </c>
    </row>
    <row r="28">
      <c r="A28" t="n">
        <v>27</v>
      </c>
      <c r="B28" t="inlineStr">
        <is>
          <t>Evergreen</t>
        </is>
      </c>
      <c r="C28" t="inlineStr">
        <is>
          <t>Kodak inventó la cámara digital y la escondió</t>
        </is>
      </c>
      <c r="D28" t="inlineStr">
        <is>
          <t>El dilema del innovador</t>
        </is>
      </c>
      <c r="E28" t="inlineStr">
        <is>
          <t>Lección famosa</t>
        </is>
      </c>
      <c r="F28" t="inlineStr">
        <is>
          <t>El ingeniero de Kodak que inventó el futuro… y lo guardaron en un cajón</t>
        </is>
      </c>
      <c r="G28" t="inlineStr">
        <is>
          <t>La cima → las grietas → la decisión fatal → el derrumbe → qué podría haber salvado la empresa</t>
        </is>
      </c>
      <c r="H28" t="inlineStr">
        <is>
          <t>Motion graphics propios, fotos de archivo con licencia o dominio público, mapas, líneas de tiempo, productos fotografiados por nosotros</t>
        </is>
      </c>
      <c r="I28" t="inlineStr">
        <is>
          <t>M</t>
        </is>
      </c>
      <c r="J28" t="inlineStr">
        <is>
          <t>A</t>
        </is>
      </c>
      <c r="K28" t="inlineStr">
        <is>
          <t>Verificar fechas y cifras; logotipo solo identificativo</t>
        </is>
      </c>
      <c r="L28" t="inlineStr">
        <is>
          <t>A</t>
        </is>
      </c>
      <c r="M28" t="inlineStr">
        <is>
          <t>A</t>
        </is>
      </c>
      <c r="N28" t="inlineStr">
        <is>
          <t>M</t>
        </is>
      </c>
      <c r="O28" t="n">
        <v>180</v>
      </c>
      <c r="P28" t="inlineStr">
        <is>
          <t>Curiosidad</t>
        </is>
      </c>
      <c r="Q28" t="inlineStr">
        <is>
          <t>A</t>
        </is>
      </c>
      <c r="R28" t="inlineStr">
        <is>
          <t>M</t>
        </is>
      </c>
      <c r="S28" t="inlineStr">
        <is>
          <t>A</t>
        </is>
      </c>
    </row>
    <row r="29">
      <c r="A29" t="n">
        <v>28</v>
      </c>
      <c r="B29" t="inlineStr">
        <is>
          <t>Evergreen</t>
        </is>
      </c>
      <c r="C29" t="inlineStr">
        <is>
          <t>Seat: la historia del coche de todos los españoles</t>
        </is>
      </c>
      <c r="D29" t="inlineStr">
        <is>
          <t>Seat 600, Fiat, Volkswagen</t>
        </is>
      </c>
      <c r="E29" t="inlineStr">
        <is>
          <t>Nostalgia</t>
        </is>
      </c>
      <c r="F29" t="inlineStr">
        <is>
          <t>El 600 no era un coche, era un miembro de la familia</t>
        </is>
      </c>
      <c r="G29" t="inlineStr">
        <is>
          <t>Gancho con el objeto cotidiano → origen → el momento de crisis → la decisión que lo cambió todo → la marca hoy → lección</t>
        </is>
      </c>
      <c r="H29" t="inlineStr">
        <is>
          <t>Motion graphics + hemeroteca (citas breves) + fotos de archivo con licencia + gráficos de cifras</t>
        </is>
      </c>
      <c r="I29" t="inlineStr">
        <is>
          <t>M</t>
        </is>
      </c>
      <c r="J29" t="inlineStr">
        <is>
          <t>A</t>
        </is>
      </c>
      <c r="K29" t="inlineStr">
        <is>
          <t>Imágenes de archivo con licencia</t>
        </is>
      </c>
      <c r="L29" t="inlineStr">
        <is>
          <t>A</t>
        </is>
      </c>
      <c r="M29" t="inlineStr">
        <is>
          <t>A</t>
        </is>
      </c>
      <c r="N29" t="inlineStr">
        <is>
          <t>M</t>
        </is>
      </c>
      <c r="O29" t="n">
        <v>180</v>
      </c>
      <c r="P29" t="inlineStr">
        <is>
          <t>Curiosidad</t>
        </is>
      </c>
      <c r="Q29" t="inlineStr">
        <is>
          <t>M</t>
        </is>
      </c>
      <c r="R29" t="inlineStr">
        <is>
          <t>M</t>
        </is>
      </c>
      <c r="S29" t="inlineStr">
        <is>
          <t>A</t>
        </is>
      </c>
    </row>
    <row r="30">
      <c r="A30" t="n">
        <v>29</v>
      </c>
      <c r="B30" t="inlineStr">
        <is>
          <t>Evergreen</t>
        </is>
      </c>
      <c r="C30" t="inlineStr">
        <is>
          <t>Barbie: la muñeca más polémica de la historia</t>
        </is>
      </c>
      <c r="D30" t="inlineStr">
        <is>
          <t>Ruth Handler, Bild Lilli, polémicas</t>
        </is>
      </c>
      <c r="E30" t="inlineStr">
        <is>
          <t>Público amplio</t>
        </is>
      </c>
      <c r="F30" t="inlineStr">
        <is>
          <t>Barbie se inspiró en una muñeca alemana para adultos</t>
        </is>
      </c>
      <c r="G30" t="inlineStr">
        <is>
          <t>Gancho con el objeto cotidiano → origen → el momento de crisis → la decisión que lo cambió todo → la marca hoy → lección</t>
        </is>
      </c>
      <c r="H30" t="inlineStr">
        <is>
          <t>Motion graphics propios, fotos de archivo con licencia o dominio público, mapas, líneas de tiempo, productos fotografiados por nosotros</t>
        </is>
      </c>
      <c r="I30" t="inlineStr">
        <is>
          <t>M</t>
        </is>
      </c>
      <c r="J30" t="inlineStr">
        <is>
          <t>A</t>
        </is>
      </c>
      <c r="K30" t="inlineStr">
        <is>
          <t>Verificar fechas y cifras; logotipo solo identificativo</t>
        </is>
      </c>
      <c r="L30" t="inlineStr">
        <is>
          <t>A</t>
        </is>
      </c>
      <c r="M30" t="inlineStr">
        <is>
          <t>A</t>
        </is>
      </c>
      <c r="N30" t="inlineStr">
        <is>
          <t>M</t>
        </is>
      </c>
      <c r="O30" t="n">
        <v>180</v>
      </c>
      <c r="P30" t="inlineStr">
        <is>
          <t>Curiosidad</t>
        </is>
      </c>
      <c r="Q30" t="inlineStr">
        <is>
          <t>M</t>
        </is>
      </c>
      <c r="R30" t="inlineStr">
        <is>
          <t>M</t>
        </is>
      </c>
      <c r="S30" t="inlineStr">
        <is>
          <t>A</t>
        </is>
      </c>
    </row>
    <row r="31">
      <c r="A31" t="n">
        <v>30</v>
      </c>
      <c r="B31" t="inlineStr">
        <is>
          <t>Evergreen</t>
        </is>
      </c>
      <c r="C31" t="inlineStr">
        <is>
          <t>Monopoly se inventó para criticar a los monopolios</t>
        </is>
      </c>
      <c r="D31" t="inlineStr">
        <is>
          <t>Lizzie Magie y The Landlord's Game</t>
        </is>
      </c>
      <c r="E31" t="inlineStr">
        <is>
          <t>Ironía histórica</t>
        </is>
      </c>
      <c r="F31" t="inlineStr">
        <is>
          <t>El juego que celebra hacerse rico se creó para criticarlo</t>
        </is>
      </c>
      <c r="G31" t="inlineStr">
        <is>
          <t>Gancho con el objeto cotidiano → origen → el momento de crisis → la decisión que lo cambió todo → la marca hoy → lección</t>
        </is>
      </c>
      <c r="H31" t="inlineStr">
        <is>
          <t>Motion graphics propios, fotos de archivo con licencia o dominio público, mapas, líneas de tiempo, productos fotografiados por nosotros</t>
        </is>
      </c>
      <c r="I31" t="inlineStr">
        <is>
          <t>M</t>
        </is>
      </c>
      <c r="J31" t="inlineStr">
        <is>
          <t>A</t>
        </is>
      </c>
      <c r="K31" t="inlineStr">
        <is>
          <t>Verificar fechas y cifras; logotipo solo identificativo</t>
        </is>
      </c>
      <c r="L31" t="inlineStr">
        <is>
          <t>A</t>
        </is>
      </c>
      <c r="M31" t="inlineStr">
        <is>
          <t>A</t>
        </is>
      </c>
      <c r="N31" t="inlineStr">
        <is>
          <t>M</t>
        </is>
      </c>
      <c r="O31" t="n">
        <v>180</v>
      </c>
      <c r="P31" t="inlineStr">
        <is>
          <t>Curiosidad</t>
        </is>
      </c>
      <c r="Q31" t="inlineStr">
        <is>
          <t>M</t>
        </is>
      </c>
      <c r="R31" t="inlineStr">
        <is>
          <t>M</t>
        </is>
      </c>
      <c r="S31" t="inlineStr">
        <is>
          <t>A</t>
        </is>
      </c>
    </row>
    <row r="32">
      <c r="A32" t="n">
        <v>31</v>
      </c>
      <c r="B32" t="inlineStr">
        <is>
          <t>Evergreen</t>
        </is>
      </c>
      <c r="C32" t="inlineStr">
        <is>
          <t>Mango: la otra gran marca de moda española (V)</t>
        </is>
      </c>
      <c r="D32" t="inlineStr">
        <is>
          <t>Isak Andic, expansión</t>
        </is>
      </c>
      <c r="E32" t="inlineStr">
        <is>
          <t>Moda</t>
        </is>
      </c>
      <c r="F32" t="inlineStr">
        <is>
          <t>Empezó con una tienda en el Paseo de Gracia</t>
        </is>
      </c>
      <c r="G32" t="inlineStr">
        <is>
          <t>Gancho con el objeto cotidiano → origen → el momento de crisis → la decisión que lo cambió todo → la marca hoy → lección</t>
        </is>
      </c>
      <c r="H32" t="inlineStr">
        <is>
          <t>Motion graphics + hemeroteca (citas breves) + fotos de archivo con licencia + gráficos de cifras</t>
        </is>
      </c>
      <c r="I32" t="inlineStr">
        <is>
          <t>M</t>
        </is>
      </c>
      <c r="J32" t="inlineStr">
        <is>
          <t>A</t>
        </is>
      </c>
      <c r="K32" t="inlineStr">
        <is>
          <t>Verificar fechas y cifras; logotipo solo identificativo</t>
        </is>
      </c>
      <c r="L32" t="inlineStr">
        <is>
          <t>A</t>
        </is>
      </c>
      <c r="M32" t="inlineStr">
        <is>
          <t>A</t>
        </is>
      </c>
      <c r="N32" t="inlineStr">
        <is>
          <t>M</t>
        </is>
      </c>
      <c r="O32" t="n">
        <v>180</v>
      </c>
      <c r="P32" t="inlineStr">
        <is>
          <t>Curiosidad</t>
        </is>
      </c>
      <c r="Q32" t="inlineStr">
        <is>
          <t>B</t>
        </is>
      </c>
      <c r="R32" t="inlineStr">
        <is>
          <t>M</t>
        </is>
      </c>
      <c r="S32" t="inlineStr">
        <is>
          <t>A</t>
        </is>
      </c>
    </row>
    <row r="33">
      <c r="A33" t="n">
        <v>32</v>
      </c>
      <c r="B33" t="inlineStr">
        <is>
          <t>Evergreen</t>
        </is>
      </c>
      <c r="C33" t="inlineStr">
        <is>
          <t>Bimbo: cómo una panadería mexicana conquistó el mundo (V)</t>
        </is>
      </c>
      <c r="D33" t="inlineStr">
        <is>
          <t>Grupo Bimbo, compra de marcas</t>
        </is>
      </c>
      <c r="E33" t="inlineStr">
        <is>
          <t>Público latinoamericano y español</t>
        </is>
      </c>
      <c r="F33" t="inlineStr">
        <is>
          <t>El pan de molde de tu desayuno puede ser mexicano</t>
        </is>
      </c>
      <c r="G33" t="inlineStr">
        <is>
          <t>Gancho con el objeto cotidiano → origen → el momento de crisis → la decisión que lo cambió todo → la marca hoy → lección</t>
        </is>
      </c>
      <c r="H33" t="inlineStr">
        <is>
          <t>Motion graphics + hemeroteca (citas breves) + fotos de archivo con licencia + gráficos de cifras</t>
        </is>
      </c>
      <c r="I33" t="inlineStr">
        <is>
          <t>M</t>
        </is>
      </c>
      <c r="J33" t="inlineStr">
        <is>
          <t>A</t>
        </is>
      </c>
      <c r="K33" t="inlineStr">
        <is>
          <t>Verificar fechas y cifras; logotipo solo identificativo</t>
        </is>
      </c>
      <c r="L33" t="inlineStr">
        <is>
          <t>A</t>
        </is>
      </c>
      <c r="M33" t="inlineStr">
        <is>
          <t>A</t>
        </is>
      </c>
      <c r="N33" t="inlineStr">
        <is>
          <t>M</t>
        </is>
      </c>
      <c r="O33" t="n">
        <v>180</v>
      </c>
      <c r="P33" t="inlineStr">
        <is>
          <t>Curiosidad</t>
        </is>
      </c>
      <c r="Q33" t="inlineStr">
        <is>
          <t>B</t>
        </is>
      </c>
      <c r="R33" t="inlineStr">
        <is>
          <t>M</t>
        </is>
      </c>
      <c r="S33" t="inlineStr">
        <is>
          <t>A</t>
        </is>
      </c>
    </row>
    <row r="34">
      <c r="A34" t="n">
        <v>33</v>
      </c>
      <c r="B34" t="inlineStr">
        <is>
          <t>Evergreen</t>
        </is>
      </c>
      <c r="C34" t="inlineStr">
        <is>
          <t>Inca Kola: el refresco que derrotó a Coca-Cola en Perú</t>
        </is>
      </c>
      <c r="D34" t="inlineStr">
        <is>
          <t>La bebida amarilla y el acuerdo con Coca-Cola</t>
        </is>
      </c>
      <c r="E34" t="inlineStr">
        <is>
          <t>Orgullo latinoamericano</t>
        </is>
      </c>
      <c r="F34" t="inlineStr">
        <is>
          <t>Coca-Cola no pudo con ella… así que se asoció</t>
        </is>
      </c>
      <c r="G34" t="inlineStr">
        <is>
          <t>La rivalidad en una frase → orígenes paralelos → golpes y contragolpes → quién ganó y por qué → qué queda hoy</t>
        </is>
      </c>
      <c r="H34" t="inlineStr">
        <is>
          <t>Motion graphics propios, fotos de archivo con licencia o dominio público, mapas, líneas de tiempo, productos fotografiados por nosotros</t>
        </is>
      </c>
      <c r="I34" t="inlineStr">
        <is>
          <t>M</t>
        </is>
      </c>
      <c r="J34" t="inlineStr">
        <is>
          <t>A</t>
        </is>
      </c>
      <c r="K34" t="inlineStr">
        <is>
          <t>Verificar el acuerdo y los porcentajes</t>
        </is>
      </c>
      <c r="L34" t="inlineStr">
        <is>
          <t>A</t>
        </is>
      </c>
      <c r="M34" t="inlineStr">
        <is>
          <t>A</t>
        </is>
      </c>
      <c r="N34" t="inlineStr">
        <is>
          <t>M</t>
        </is>
      </c>
      <c r="O34" t="n">
        <v>180</v>
      </c>
      <c r="P34" t="inlineStr">
        <is>
          <t>Curiosidad</t>
        </is>
      </c>
      <c r="Q34" t="inlineStr">
        <is>
          <t>B</t>
        </is>
      </c>
      <c r="R34" t="inlineStr">
        <is>
          <t>M</t>
        </is>
      </c>
      <c r="S34" t="inlineStr">
        <is>
          <t>A</t>
        </is>
      </c>
    </row>
    <row r="35">
      <c r="A35" t="n">
        <v>34</v>
      </c>
      <c r="B35" t="inlineStr">
        <is>
          <t>Evergreen</t>
        </is>
      </c>
      <c r="C35" t="inlineStr">
        <is>
          <t>Corona: la cerveza mexicana que se volvió global</t>
        </is>
      </c>
      <c r="D35" t="inlineStr">
        <is>
          <t>Grupo Modelo, expansión, AB InBev</t>
        </is>
      </c>
      <c r="E35" t="inlineStr">
        <is>
          <t>Marca reconocible</t>
        </is>
      </c>
      <c r="F35" t="inlineStr">
        <is>
          <t>Del Pacífico mexicano a todos los bares del mundo</t>
        </is>
      </c>
      <c r="G35" t="inlineStr">
        <is>
          <t>Gancho con el objeto cotidiano → origen → el momento de crisis → la decisión que lo cambió todo → la marca hoy → lección</t>
        </is>
      </c>
      <c r="H35" t="inlineStr">
        <is>
          <t>Motion graphics propios, fotos de archivo con licencia o dominio público, mapas, líneas de tiempo, productos fotografiados por nosotros</t>
        </is>
      </c>
      <c r="I35" t="inlineStr">
        <is>
          <t>M</t>
        </is>
      </c>
      <c r="J35" t="inlineStr">
        <is>
          <t>A</t>
        </is>
      </c>
      <c r="K35" t="inlineStr">
        <is>
          <t>Verificar fechas y cifras; logotipo solo identificativo</t>
        </is>
      </c>
      <c r="L35" t="inlineStr">
        <is>
          <t>A</t>
        </is>
      </c>
      <c r="M35" t="inlineStr">
        <is>
          <t>A</t>
        </is>
      </c>
      <c r="N35" t="inlineStr">
        <is>
          <t>M</t>
        </is>
      </c>
      <c r="O35" t="n">
        <v>180</v>
      </c>
      <c r="P35" t="inlineStr">
        <is>
          <t>Curiosidad</t>
        </is>
      </c>
      <c r="Q35" t="inlineStr">
        <is>
          <t>M</t>
        </is>
      </c>
      <c r="R35" t="inlineStr">
        <is>
          <t>M</t>
        </is>
      </c>
      <c r="S35" t="inlineStr">
        <is>
          <t>A</t>
        </is>
      </c>
    </row>
    <row r="36">
      <c r="A36" t="n">
        <v>35</v>
      </c>
      <c r="B36" t="inlineStr">
        <is>
          <t>Evergreen</t>
        </is>
      </c>
      <c r="C36" t="inlineStr">
        <is>
          <t>Gillette y el truco de vender barato para ganar caro</t>
        </is>
      </c>
      <c r="D36" t="inlineStr">
        <is>
          <t>Modelo de cuchilla y recambio</t>
        </is>
      </c>
      <c r="E36" t="inlineStr">
        <is>
          <t>Explicación de negocio sencilla</t>
        </is>
      </c>
      <c r="F36" t="inlineStr">
        <is>
          <t>Te regalan la impresora, te cobran la tinta. Empezó con una cuchilla</t>
        </is>
      </c>
      <c r="G36" t="inlineStr">
        <is>
          <t>Pregunta que todos se han hecho → respuesta corta → explicación con datos → lo que nadie cuenta</t>
        </is>
      </c>
      <c r="H36" t="inlineStr">
        <is>
          <t>Motion graphics propios, fotos de archivo con licencia o dominio público, mapas, líneas de tiempo, productos fotografiados por nosotros</t>
        </is>
      </c>
      <c r="I36" t="inlineStr">
        <is>
          <t>M</t>
        </is>
      </c>
      <c r="J36" t="inlineStr">
        <is>
          <t>A</t>
        </is>
      </c>
      <c r="K36" t="inlineStr">
        <is>
          <t>Verificar fechas y cifras; logotipo solo identificativo</t>
        </is>
      </c>
      <c r="L36" t="inlineStr">
        <is>
          <t>A</t>
        </is>
      </c>
      <c r="M36" t="inlineStr">
        <is>
          <t>A</t>
        </is>
      </c>
      <c r="N36" t="inlineStr">
        <is>
          <t>M</t>
        </is>
      </c>
      <c r="O36" t="n">
        <v>180</v>
      </c>
      <c r="P36" t="inlineStr">
        <is>
          <t>Curiosidad</t>
        </is>
      </c>
      <c r="Q36" t="inlineStr">
        <is>
          <t>M</t>
        </is>
      </c>
      <c r="R36" t="inlineStr">
        <is>
          <t>M</t>
        </is>
      </c>
      <c r="S36" t="inlineStr">
        <is>
          <t>A</t>
        </is>
      </c>
    </row>
    <row r="37">
      <c r="A37" t="n">
        <v>36</v>
      </c>
      <c r="B37" t="inlineStr">
        <is>
          <t>Evergreen</t>
        </is>
      </c>
      <c r="C37" t="inlineStr">
        <is>
          <t>Starbucks: por qué el café cuesta tanto</t>
        </is>
      </c>
      <c r="D37" t="inlineStr">
        <is>
          <t>Modelo de tercer lugar, precios</t>
        </is>
      </c>
      <c r="E37" t="inlineStr">
        <is>
          <t>Debate popular</t>
        </is>
      </c>
      <c r="F37" t="inlineStr">
        <is>
          <t>No pagas el café. Pagas otra cosa</t>
        </is>
      </c>
      <c r="G37" t="inlineStr">
        <is>
          <t>Pregunta que todos se han hecho → respuesta corta → explicación con datos → lo que nadie cuenta</t>
        </is>
      </c>
      <c r="H37" t="inlineStr">
        <is>
          <t>Motion graphics propios, fotos de archivo con licencia o dominio público, mapas, líneas de tiempo, productos fotografiados por nosotros</t>
        </is>
      </c>
      <c r="I37" t="inlineStr">
        <is>
          <t>M</t>
        </is>
      </c>
      <c r="J37" t="inlineStr">
        <is>
          <t>A</t>
        </is>
      </c>
      <c r="K37" t="inlineStr">
        <is>
          <t>Verificar fechas y cifras; logotipo solo identificativo</t>
        </is>
      </c>
      <c r="L37" t="inlineStr">
        <is>
          <t>A</t>
        </is>
      </c>
      <c r="M37" t="inlineStr">
        <is>
          <t>A</t>
        </is>
      </c>
      <c r="N37" t="inlineStr">
        <is>
          <t>M</t>
        </is>
      </c>
      <c r="O37" t="n">
        <v>180</v>
      </c>
      <c r="P37" t="inlineStr">
        <is>
          <t>Curiosidad</t>
        </is>
      </c>
      <c r="Q37" t="inlineStr">
        <is>
          <t>A</t>
        </is>
      </c>
      <c r="R37" t="inlineStr">
        <is>
          <t>M</t>
        </is>
      </c>
      <c r="S37" t="inlineStr">
        <is>
          <t>A</t>
        </is>
      </c>
    </row>
    <row r="38">
      <c r="A38" t="n">
        <v>37</v>
      </c>
      <c r="B38" t="inlineStr">
        <is>
          <t>Evergreen</t>
        </is>
      </c>
      <c r="C38" t="inlineStr">
        <is>
          <t>Ferrari vs Lamborghini: un insulto que creó una marca</t>
        </is>
      </c>
      <c r="D38" t="inlineStr">
        <is>
          <t>Ferruccio y Enzo</t>
        </is>
      </c>
      <c r="E38" t="inlineStr">
        <is>
          <t>Coches + rivalidad</t>
        </is>
      </c>
      <c r="F38" t="inlineStr">
        <is>
          <t>Un fabricante de tractores se quejó a Enzo Ferrari…</t>
        </is>
      </c>
      <c r="G38" t="inlineStr">
        <is>
          <t>La rivalidad en una frase → orígenes paralelos → golpes y contragolpes → quién ganó y por qué → qué queda hoy</t>
        </is>
      </c>
      <c r="H38" t="inlineStr">
        <is>
          <t>Motion graphics propios, fotos de archivo con licencia o dominio público, mapas, líneas de tiempo, productos fotografiados por nosotros</t>
        </is>
      </c>
      <c r="I38" t="inlineStr">
        <is>
          <t>M</t>
        </is>
      </c>
      <c r="J38" t="inlineStr">
        <is>
          <t>A</t>
        </is>
      </c>
      <c r="K38" t="inlineStr">
        <is>
          <t>Separar leyenda y hechos</t>
        </is>
      </c>
      <c r="L38" t="inlineStr">
        <is>
          <t>A</t>
        </is>
      </c>
      <c r="M38" t="inlineStr">
        <is>
          <t>A</t>
        </is>
      </c>
      <c r="N38" t="inlineStr">
        <is>
          <t>M</t>
        </is>
      </c>
      <c r="O38" t="n">
        <v>180</v>
      </c>
      <c r="P38" t="inlineStr">
        <is>
          <t>Curiosidad</t>
        </is>
      </c>
      <c r="Q38" t="inlineStr">
        <is>
          <t>A</t>
        </is>
      </c>
      <c r="R38" t="inlineStr">
        <is>
          <t>M</t>
        </is>
      </c>
      <c r="S38" t="inlineStr">
        <is>
          <t>A</t>
        </is>
      </c>
    </row>
    <row r="39">
      <c r="A39" t="n">
        <v>38</v>
      </c>
      <c r="B39" t="inlineStr">
        <is>
          <t>Evergreen</t>
        </is>
      </c>
      <c r="C39" t="inlineStr">
        <is>
          <t>Freixenet: las burbujas que vendieron Navidad</t>
        </is>
      </c>
      <c r="D39" t="inlineStr">
        <is>
          <t>Cava, anuncios navideños</t>
        </is>
      </c>
      <c r="E39" t="inlineStr">
        <is>
          <t>Estacional (diciembre)</t>
        </is>
      </c>
      <c r="F39" t="inlineStr">
        <is>
          <t>Durante años, la Navidad en España empezaba con un anuncio</t>
        </is>
      </c>
      <c r="G39" t="inlineStr">
        <is>
          <t>Gancho con el objeto cotidiano → origen → el momento de crisis → la decisión que lo cambió todo → la marca hoy → lección</t>
        </is>
      </c>
      <c r="H39" t="inlineStr">
        <is>
          <t>Motion graphics + hemeroteca (citas breves) + fotos de archivo con licencia + gráficos de cifras</t>
        </is>
      </c>
      <c r="I39" t="inlineStr">
        <is>
          <t>M</t>
        </is>
      </c>
      <c r="J39" t="inlineStr">
        <is>
          <t>A</t>
        </is>
      </c>
      <c r="K39" t="inlineStr">
        <is>
          <t>Verificar fechas y cifras; logotipo solo identificativo</t>
        </is>
      </c>
      <c r="L39" t="inlineStr">
        <is>
          <t>A</t>
        </is>
      </c>
      <c r="M39" t="inlineStr">
        <is>
          <t>A</t>
        </is>
      </c>
      <c r="N39" t="inlineStr">
        <is>
          <t>M</t>
        </is>
      </c>
      <c r="O39" t="n">
        <v>180</v>
      </c>
      <c r="P39" t="inlineStr">
        <is>
          <t>Curiosidad</t>
        </is>
      </c>
      <c r="Q39" t="inlineStr">
        <is>
          <t>B</t>
        </is>
      </c>
      <c r="R39" t="inlineStr">
        <is>
          <t>M</t>
        </is>
      </c>
      <c r="S39" t="inlineStr">
        <is>
          <t>A</t>
        </is>
      </c>
    </row>
    <row r="40">
      <c r="A40" t="n">
        <v>39</v>
      </c>
      <c r="B40" t="inlineStr">
        <is>
          <t>Evergreen</t>
        </is>
      </c>
      <c r="C40" t="inlineStr">
        <is>
          <t>Tupperware: auge y caída de las fiestas en casa</t>
        </is>
      </c>
      <c r="D40" t="inlineStr">
        <is>
          <t>Venta directa y quiebra (V)</t>
        </is>
      </c>
      <c r="E40" t="inlineStr">
        <is>
          <t>Nostalgia familiar</t>
        </is>
      </c>
      <c r="F40" t="inlineStr">
        <is>
          <t>El táper más famoso del mundo acabó en los tribunales</t>
        </is>
      </c>
      <c r="G40" t="inlineStr">
        <is>
          <t>La cima → las grietas → la decisión fatal → el derrumbe → qué podría haber salvado la empresa</t>
        </is>
      </c>
      <c r="H40" t="inlineStr">
        <is>
          <t>Motion graphics propios, fotos de archivo con licencia o dominio público, mapas, líneas de tiempo, productos fotografiados por nosotros</t>
        </is>
      </c>
      <c r="I40" t="inlineStr">
        <is>
          <t>M</t>
        </is>
      </c>
      <c r="J40" t="inlineStr">
        <is>
          <t>A</t>
        </is>
      </c>
      <c r="K40" t="inlineStr">
        <is>
          <t>Verificar fechas y cifras; logotipo solo identificativo</t>
        </is>
      </c>
      <c r="L40" t="inlineStr">
        <is>
          <t>A</t>
        </is>
      </c>
      <c r="M40" t="inlineStr">
        <is>
          <t>A</t>
        </is>
      </c>
      <c r="N40" t="inlineStr">
        <is>
          <t>M</t>
        </is>
      </c>
      <c r="O40" t="n">
        <v>180</v>
      </c>
      <c r="P40" t="inlineStr">
        <is>
          <t>Curiosidad</t>
        </is>
      </c>
      <c r="Q40" t="inlineStr">
        <is>
          <t>M</t>
        </is>
      </c>
      <c r="R40" t="inlineStr">
        <is>
          <t>M</t>
        </is>
      </c>
      <c r="S40" t="inlineStr">
        <is>
          <t>A</t>
        </is>
      </c>
    </row>
    <row r="41">
      <c r="A41" t="n">
        <v>40</v>
      </c>
      <c r="B41" t="inlineStr">
        <is>
          <t>Evergreen</t>
        </is>
      </c>
      <c r="C41" t="inlineStr">
        <is>
          <t>Pokémon: el negocio de entretenimiento más rentable de la historia (V)</t>
        </is>
      </c>
      <c r="D41" t="inlineStr">
        <is>
          <t>Franquicia multimedia</t>
        </is>
      </c>
      <c r="E41" t="inlineStr">
        <is>
          <t>Público joven y adulto</t>
        </is>
      </c>
      <c r="F41" t="inlineStr">
        <is>
          <t>Pokémon ha ingresado más que Star Wars y Marvel… según varias estimaciones</t>
        </is>
      </c>
      <c r="G41" t="inlineStr">
        <is>
          <t>Gancho con el objeto cotidiano → origen → el momento de crisis → la decisión que lo cambió todo → la marca hoy → lección</t>
        </is>
      </c>
      <c r="H41" t="inlineStr">
        <is>
          <t>Motion graphics propios, fotos de archivo con licencia o dominio público, mapas, líneas de tiempo, productos fotografiados por nosotros</t>
        </is>
      </c>
      <c r="I41" t="inlineStr">
        <is>
          <t>M</t>
        </is>
      </c>
      <c r="J41" t="inlineStr">
        <is>
          <t>A</t>
        </is>
      </c>
      <c r="K41" t="inlineStr">
        <is>
          <t>Cifras: citar fuente y que son estimaciones</t>
        </is>
      </c>
      <c r="L41" t="inlineStr">
        <is>
          <t>A</t>
        </is>
      </c>
      <c r="M41" t="inlineStr">
        <is>
          <t>A</t>
        </is>
      </c>
      <c r="N41" t="inlineStr">
        <is>
          <t>M</t>
        </is>
      </c>
      <c r="O41" t="n">
        <v>180</v>
      </c>
      <c r="P41" t="inlineStr">
        <is>
          <t>Curiosidad</t>
        </is>
      </c>
      <c r="Q41" t="inlineStr">
        <is>
          <t>A</t>
        </is>
      </c>
      <c r="R41" t="inlineStr">
        <is>
          <t>M</t>
        </is>
      </c>
      <c r="S41" t="inlineStr">
        <is>
          <t>A</t>
        </is>
      </c>
    </row>
    <row r="42">
      <c r="A42" t="n">
        <v>41</v>
      </c>
      <c r="B42" t="inlineStr">
        <is>
          <t>Evergreen</t>
        </is>
      </c>
      <c r="C42" t="inlineStr">
        <is>
          <t>Tetra Pak: el envase que está en tu nevera</t>
        </is>
      </c>
      <c r="D42" t="inlineStr">
        <is>
          <t>Ruben Rausing, innovación</t>
        </is>
      </c>
      <c r="E42" t="inlineStr">
        <is>
          <t>Objeto cotidiano invisible</t>
        </is>
      </c>
      <c r="F42" t="inlineStr">
        <is>
          <t>Lo tocas cada día y no sabes su historia</t>
        </is>
      </c>
      <c r="G42" t="inlineStr">
        <is>
          <t>Gancho con el objeto cotidiano → origen → el momento de crisis → la decisión que lo cambió todo → la marca hoy → lección</t>
        </is>
      </c>
      <c r="H42" t="inlineStr">
        <is>
          <t>Motion graphics propios, fotos de archivo con licencia o dominio público, mapas, líneas de tiempo, productos fotografiados por nosotros</t>
        </is>
      </c>
      <c r="I42" t="inlineStr">
        <is>
          <t>M</t>
        </is>
      </c>
      <c r="J42" t="inlineStr">
        <is>
          <t>A</t>
        </is>
      </c>
      <c r="K42" t="inlineStr">
        <is>
          <t>Verificar fechas y cifras; logotipo solo identificativo</t>
        </is>
      </c>
      <c r="L42" t="inlineStr">
        <is>
          <t>A</t>
        </is>
      </c>
      <c r="M42" t="inlineStr">
        <is>
          <t>A</t>
        </is>
      </c>
      <c r="N42" t="inlineStr">
        <is>
          <t>M</t>
        </is>
      </c>
      <c r="O42" t="n">
        <v>180</v>
      </c>
      <c r="P42" t="inlineStr">
        <is>
          <t>Curiosidad</t>
        </is>
      </c>
      <c r="Q42" t="inlineStr">
        <is>
          <t>B</t>
        </is>
      </c>
      <c r="R42" t="inlineStr">
        <is>
          <t>M</t>
        </is>
      </c>
      <c r="S42" t="inlineStr">
        <is>
          <t>A</t>
        </is>
      </c>
    </row>
    <row r="43">
      <c r="A43" t="n">
        <v>42</v>
      </c>
      <c r="B43" t="inlineStr">
        <is>
          <t>Evergreen</t>
        </is>
      </c>
      <c r="C43" t="inlineStr">
        <is>
          <t>Rolex: por qué un reloj puede costar como un coche</t>
        </is>
      </c>
      <c r="D43" t="inlineStr">
        <is>
          <t>Marca, escasez, reventa</t>
        </is>
      </c>
      <c r="E43" t="inlineStr">
        <is>
          <t>Lujo accesible a la curiosidad</t>
        </is>
      </c>
      <c r="F43" t="inlineStr">
        <is>
          <t>Hay lista de espera para gastar 10.000 €</t>
        </is>
      </c>
      <c r="G43" t="inlineStr">
        <is>
          <t>Pregunta que todos se han hecho → respuesta corta → explicación con datos → lo que nadie cuenta</t>
        </is>
      </c>
      <c r="H43" t="inlineStr">
        <is>
          <t>Motion graphics propios, fotos de archivo con licencia o dominio público, mapas, líneas de tiempo, productos fotografiados por nosotros</t>
        </is>
      </c>
      <c r="I43" t="inlineStr">
        <is>
          <t>M</t>
        </is>
      </c>
      <c r="J43" t="inlineStr">
        <is>
          <t>A</t>
        </is>
      </c>
      <c r="K43" t="inlineStr">
        <is>
          <t>Verificar fechas y cifras; logotipo solo identificativo</t>
        </is>
      </c>
      <c r="L43" t="inlineStr">
        <is>
          <t>A</t>
        </is>
      </c>
      <c r="M43" t="inlineStr">
        <is>
          <t>A</t>
        </is>
      </c>
      <c r="N43" t="inlineStr">
        <is>
          <t>M</t>
        </is>
      </c>
      <c r="O43" t="n">
        <v>180</v>
      </c>
      <c r="P43" t="inlineStr">
        <is>
          <t>Curiosidad</t>
        </is>
      </c>
      <c r="Q43" t="inlineStr">
        <is>
          <t>M</t>
        </is>
      </c>
      <c r="R43" t="inlineStr">
        <is>
          <t>M</t>
        </is>
      </c>
      <c r="S43" t="inlineStr">
        <is>
          <t>A</t>
        </is>
      </c>
    </row>
    <row r="44">
      <c r="A44" t="n">
        <v>43</v>
      </c>
      <c r="B44" t="inlineStr">
        <is>
          <t>Evergreen</t>
        </is>
      </c>
      <c r="C44" t="inlineStr">
        <is>
          <t>Hello Kitty no es una gata (y otros secretos de Sanrio)</t>
        </is>
      </c>
      <c r="D44" t="inlineStr">
        <is>
          <t>Personaje y licencias</t>
        </is>
      </c>
      <c r="E44" t="inlineStr">
        <is>
          <t>Viral</t>
        </is>
      </c>
      <c r="F44" t="inlineStr">
        <is>
          <t>Sanrio dijo que no es una gata. Internet enloqueció</t>
        </is>
      </c>
      <c r="G44" t="inlineStr">
        <is>
          <t>Gancho con el objeto cotidiano → origen → el momento de crisis → la decisión que lo cambió todo → la marca hoy → lección</t>
        </is>
      </c>
      <c r="H44" t="inlineStr">
        <is>
          <t>Motion graphics propios, fotos de archivo con licencia o dominio público, mapas, líneas de tiempo, productos fotografiados por nosotros</t>
        </is>
      </c>
      <c r="I44" t="inlineStr">
        <is>
          <t>M</t>
        </is>
      </c>
      <c r="J44" t="inlineStr">
        <is>
          <t>A</t>
        </is>
      </c>
      <c r="K44" t="inlineStr">
        <is>
          <t>Verificar fechas y cifras; logotipo solo identificativo</t>
        </is>
      </c>
      <c r="L44" t="inlineStr">
        <is>
          <t>A</t>
        </is>
      </c>
      <c r="M44" t="inlineStr">
        <is>
          <t>A</t>
        </is>
      </c>
      <c r="N44" t="inlineStr">
        <is>
          <t>M</t>
        </is>
      </c>
      <c r="O44" t="n">
        <v>180</v>
      </c>
      <c r="P44" t="inlineStr">
        <is>
          <t>Curiosidad</t>
        </is>
      </c>
      <c r="Q44" t="inlineStr">
        <is>
          <t>M</t>
        </is>
      </c>
      <c r="R44" t="inlineStr">
        <is>
          <t>M</t>
        </is>
      </c>
      <c r="S44" t="inlineStr">
        <is>
          <t>A</t>
        </is>
      </c>
    </row>
    <row r="45">
      <c r="A45" t="n">
        <v>44</v>
      </c>
      <c r="B45" t="inlineStr">
        <is>
          <t>Evergreen</t>
        </is>
      </c>
      <c r="C45" t="inlineStr">
        <is>
          <t>Nike: de vender zapatillas en un coche a dominar el deporte</t>
        </is>
      </c>
      <c r="D45" t="inlineStr">
        <is>
          <t>Phil Knight, Onitsuka, Jordan</t>
        </is>
      </c>
      <c r="E45" t="inlineStr">
        <is>
          <t>Marca universal</t>
        </is>
      </c>
      <c r="F45" t="inlineStr">
        <is>
          <t>Phil Knight vendía zapatillas desde el maletero</t>
        </is>
      </c>
      <c r="G45" t="inlineStr">
        <is>
          <t>Gancho con el objeto cotidiano → origen → el momento de crisis → la decisión que lo cambió todo → la marca hoy → lección</t>
        </is>
      </c>
      <c r="H45" t="inlineStr">
        <is>
          <t>Motion graphics propios, fotos de archivo con licencia o dominio público, mapas, líneas de tiempo, productos fotografiados por nosotros</t>
        </is>
      </c>
      <c r="I45" t="inlineStr">
        <is>
          <t>M</t>
        </is>
      </c>
      <c r="J45" t="inlineStr">
        <is>
          <t>A</t>
        </is>
      </c>
      <c r="K45" t="inlineStr">
        <is>
          <t>Verificar fechas y cifras; logotipo solo identificativo</t>
        </is>
      </c>
      <c r="L45" t="inlineStr">
        <is>
          <t>A</t>
        </is>
      </c>
      <c r="M45" t="inlineStr">
        <is>
          <t>A</t>
        </is>
      </c>
      <c r="N45" t="inlineStr">
        <is>
          <t>M</t>
        </is>
      </c>
      <c r="O45" t="n">
        <v>180</v>
      </c>
      <c r="P45" t="inlineStr">
        <is>
          <t>Curiosidad</t>
        </is>
      </c>
      <c r="Q45" t="inlineStr">
        <is>
          <t>A</t>
        </is>
      </c>
      <c r="R45" t="inlineStr">
        <is>
          <t>M</t>
        </is>
      </c>
      <c r="S45" t="inlineStr">
        <is>
          <t>A</t>
        </is>
      </c>
    </row>
    <row r="46">
      <c r="A46" t="n">
        <v>45</v>
      </c>
      <c r="B46" t="inlineStr">
        <is>
          <t>Evergreen</t>
        </is>
      </c>
      <c r="C46" t="inlineStr">
        <is>
          <t>BlackBerry: el móvil que tenían todos los ejecutivos</t>
        </is>
      </c>
      <c r="D46" t="inlineStr">
        <is>
          <t>Caída frente al iPhone</t>
        </is>
      </c>
      <c r="E46" t="inlineStr">
        <is>
          <t>Nostalgia</t>
        </is>
      </c>
      <c r="F46" t="inlineStr">
        <is>
          <t>El presidente de EE. UU. no quería soltarla</t>
        </is>
      </c>
      <c r="G46" t="inlineStr">
        <is>
          <t>La cima → las grietas → la decisión fatal → el derrumbe → qué podría haber salvado la empresa</t>
        </is>
      </c>
      <c r="H46" t="inlineStr">
        <is>
          <t>Motion graphics propios, fotos de archivo con licencia o dominio público, mapas, líneas de tiempo, productos fotografiados por nosotros</t>
        </is>
      </c>
      <c r="I46" t="inlineStr">
        <is>
          <t>M</t>
        </is>
      </c>
      <c r="J46" t="inlineStr">
        <is>
          <t>A</t>
        </is>
      </c>
      <c r="K46" t="inlineStr">
        <is>
          <t>Verificar fechas y cifras; logotipo solo identificativo</t>
        </is>
      </c>
      <c r="L46" t="inlineStr">
        <is>
          <t>A</t>
        </is>
      </c>
      <c r="M46" t="inlineStr">
        <is>
          <t>A</t>
        </is>
      </c>
      <c r="N46" t="inlineStr">
        <is>
          <t>M</t>
        </is>
      </c>
      <c r="O46" t="n">
        <v>180</v>
      </c>
      <c r="P46" t="inlineStr">
        <is>
          <t>Curiosidad</t>
        </is>
      </c>
      <c r="Q46" t="inlineStr">
        <is>
          <t>M</t>
        </is>
      </c>
      <c r="R46" t="inlineStr">
        <is>
          <t>M</t>
        </is>
      </c>
      <c r="S46" t="inlineStr">
        <is>
          <t>A</t>
        </is>
      </c>
    </row>
    <row r="47">
      <c r="A47" t="n">
        <v>46</v>
      </c>
      <c r="B47" t="inlineStr">
        <is>
          <t>Evergreen</t>
        </is>
      </c>
      <c r="C47" t="inlineStr">
        <is>
          <t>Burger King vs McDonald's: la guerra de las hamburguesas</t>
        </is>
      </c>
      <c r="D47" t="inlineStr">
        <is>
          <t>Publicidad comparativa</t>
        </is>
      </c>
      <c r="E47" t="inlineStr">
        <is>
          <t>Rivalidad</t>
        </is>
      </c>
      <c r="F47" t="inlineStr">
        <is>
          <t>El anuncio que te mandaba a McDonald's para comprar en Burger King</t>
        </is>
      </c>
      <c r="G47" t="inlineStr">
        <is>
          <t>La rivalidad en una frase → orígenes paralelos → golpes y contragolpes → quién ganó y por qué → qué queda hoy</t>
        </is>
      </c>
      <c r="H47" t="inlineStr">
        <is>
          <t>Motion graphics propios, fotos de archivo con licencia o dominio público, mapas, líneas de tiempo, productos fotografiados por nosotros</t>
        </is>
      </c>
      <c r="I47" t="inlineStr">
        <is>
          <t>M</t>
        </is>
      </c>
      <c r="J47" t="inlineStr">
        <is>
          <t>A</t>
        </is>
      </c>
      <c r="K47" t="inlineStr">
        <is>
          <t>Verificar fechas y cifras; logotipo solo identificativo</t>
        </is>
      </c>
      <c r="L47" t="inlineStr">
        <is>
          <t>A</t>
        </is>
      </c>
      <c r="M47" t="inlineStr">
        <is>
          <t>A</t>
        </is>
      </c>
      <c r="N47" t="inlineStr">
        <is>
          <t>M</t>
        </is>
      </c>
      <c r="O47" t="n">
        <v>180</v>
      </c>
      <c r="P47" t="inlineStr">
        <is>
          <t>Curiosidad</t>
        </is>
      </c>
      <c r="Q47" t="inlineStr">
        <is>
          <t>M</t>
        </is>
      </c>
      <c r="R47" t="inlineStr">
        <is>
          <t>M</t>
        </is>
      </c>
      <c r="S47" t="inlineStr">
        <is>
          <t>A</t>
        </is>
      </c>
    </row>
    <row r="48">
      <c r="A48" t="n">
        <v>47</v>
      </c>
      <c r="B48" t="inlineStr">
        <is>
          <t>Evergreen</t>
        </is>
      </c>
      <c r="C48" t="inlineStr">
        <is>
          <t>Mahou, Estrella, Damm: el mapa de la cerveza en España (V)</t>
        </is>
      </c>
      <c r="D48" t="inlineStr">
        <is>
          <t>Cerveceras regionales</t>
        </is>
      </c>
      <c r="E48" t="inlineStr">
        <is>
          <t>Identidad regional</t>
        </is>
      </c>
      <c r="F48" t="inlineStr">
        <is>
          <t>Dime qué cerveza pides y te diré de dónde eres</t>
        </is>
      </c>
      <c r="G48" t="inlineStr">
        <is>
          <t>Pregunta que todos se han hecho → respuesta corta → explicación con datos → lo que nadie cuenta</t>
        </is>
      </c>
      <c r="H48" t="inlineStr">
        <is>
          <t>Motion graphics + hemeroteca (citas breves) + fotos de archivo con licencia + gráficos de cifras</t>
        </is>
      </c>
      <c r="I48" t="inlineStr">
        <is>
          <t>M</t>
        </is>
      </c>
      <c r="J48" t="inlineStr">
        <is>
          <t>A</t>
        </is>
      </c>
      <c r="K48" t="inlineStr">
        <is>
          <t>Verificar fechas y cifras; logotipo solo identificativo</t>
        </is>
      </c>
      <c r="L48" t="inlineStr">
        <is>
          <t>A</t>
        </is>
      </c>
      <c r="M48" t="inlineStr">
        <is>
          <t>A</t>
        </is>
      </c>
      <c r="N48" t="inlineStr">
        <is>
          <t>M</t>
        </is>
      </c>
      <c r="O48" t="n">
        <v>180</v>
      </c>
      <c r="P48" t="inlineStr">
        <is>
          <t>Curiosidad</t>
        </is>
      </c>
      <c r="Q48" t="inlineStr">
        <is>
          <t>B</t>
        </is>
      </c>
      <c r="R48" t="inlineStr">
        <is>
          <t>M</t>
        </is>
      </c>
      <c r="S48" t="inlineStr">
        <is>
          <t>A</t>
        </is>
      </c>
    </row>
    <row r="49">
      <c r="A49" t="n">
        <v>48</v>
      </c>
      <c r="B49" t="inlineStr">
        <is>
          <t>Evergreen</t>
        </is>
      </c>
      <c r="C49" t="inlineStr">
        <is>
          <t>Por qué los productos cuestan 9,99 € (psicología de precios)</t>
        </is>
      </c>
      <c r="D49" t="inlineStr">
        <is>
          <t>Precios psicológicos</t>
        </is>
      </c>
      <c r="E49" t="inlineStr">
        <is>
          <t>Utilidad</t>
        </is>
      </c>
      <c r="F49" t="inlineStr">
        <is>
          <t>Ese céntimo cambia lo que compras</t>
        </is>
      </c>
      <c r="G49" t="inlineStr">
        <is>
          <t>Pregunta que todos se han hecho → respuesta corta → explicación con datos → lo que nadie cuenta</t>
        </is>
      </c>
      <c r="H49" t="inlineStr">
        <is>
          <t>Motion graphics propios, fotos de archivo con licencia o dominio público, mapas, líneas de tiempo, productos fotografiados por nosotros</t>
        </is>
      </c>
      <c r="I49" t="inlineStr">
        <is>
          <t>M</t>
        </is>
      </c>
      <c r="J49" t="inlineStr">
        <is>
          <t>A</t>
        </is>
      </c>
      <c r="K49" t="inlineStr">
        <is>
          <t>Citar estudios</t>
        </is>
      </c>
      <c r="L49" t="inlineStr">
        <is>
          <t>A</t>
        </is>
      </c>
      <c r="M49" t="inlineStr">
        <is>
          <t>A</t>
        </is>
      </c>
      <c r="N49" t="inlineStr">
        <is>
          <t>M</t>
        </is>
      </c>
      <c r="O49" t="n">
        <v>180</v>
      </c>
      <c r="P49" t="inlineStr">
        <is>
          <t>Curiosidad</t>
        </is>
      </c>
      <c r="Q49" t="inlineStr">
        <is>
          <t>M</t>
        </is>
      </c>
      <c r="R49" t="inlineStr">
        <is>
          <t>M</t>
        </is>
      </c>
      <c r="S49" t="inlineStr">
        <is>
          <t>A</t>
        </is>
      </c>
    </row>
    <row r="50">
      <c r="A50" t="n">
        <v>49</v>
      </c>
      <c r="B50" t="inlineStr">
        <is>
          <t>Evergreen</t>
        </is>
      </c>
      <c r="C50" t="inlineStr">
        <is>
          <t>Los logotipos más famosos y su significado oculto</t>
        </is>
      </c>
      <c r="D50" t="inlineStr">
        <is>
          <t>FedEx, Toblerone, Amazon…</t>
        </is>
      </c>
      <c r="E50" t="inlineStr">
        <is>
          <t>Formato lista viral</t>
        </is>
      </c>
      <c r="F50" t="inlineStr">
        <is>
          <t>¿Ves la flecha?</t>
        </is>
      </c>
      <c r="G50" t="inlineStr">
        <is>
          <t>Pregunta → 5-7 casos ordenados de menos a más sorprendente → patrón común</t>
        </is>
      </c>
      <c r="H50" t="inlineStr">
        <is>
          <t>Motion graphics propios, fotos de archivo con licencia o dominio público, mapas, líneas de tiempo, productos fotografiados por nosotros</t>
        </is>
      </c>
      <c r="I50" t="inlineStr">
        <is>
          <t>M</t>
        </is>
      </c>
      <c r="J50" t="inlineStr">
        <is>
          <t>A</t>
        </is>
      </c>
      <c r="K50" t="inlineStr">
        <is>
          <t>Verificar fechas y cifras; logotipo solo identificativo</t>
        </is>
      </c>
      <c r="L50" t="inlineStr">
        <is>
          <t>A</t>
        </is>
      </c>
      <c r="M50" t="inlineStr">
        <is>
          <t>A</t>
        </is>
      </c>
      <c r="N50" t="inlineStr">
        <is>
          <t>M</t>
        </is>
      </c>
      <c r="O50" t="n">
        <v>180</v>
      </c>
      <c r="P50" t="inlineStr">
        <is>
          <t>Curiosidad</t>
        </is>
      </c>
      <c r="Q50" t="inlineStr">
        <is>
          <t>A</t>
        </is>
      </c>
      <c r="R50" t="inlineStr">
        <is>
          <t>M</t>
        </is>
      </c>
      <c r="S50" t="inlineStr">
        <is>
          <t>A</t>
        </is>
      </c>
    </row>
    <row r="51">
      <c r="A51" t="n">
        <v>50</v>
      </c>
      <c r="B51" t="inlineStr">
        <is>
          <t>Evergreen</t>
        </is>
      </c>
      <c r="C51" t="inlineStr">
        <is>
          <t>Kellogg's: los cereales que nacieron en un sanatorio</t>
        </is>
      </c>
      <c r="D51" t="inlineStr">
        <is>
          <t>John Harvey Kellogg y su hermano</t>
        </is>
      </c>
      <c r="E51" t="inlineStr">
        <is>
          <t>Historia extraña</t>
        </is>
      </c>
      <c r="F51" t="inlineStr">
        <is>
          <t>Los Corn Flakes se inventaron con una intención muy distinta</t>
        </is>
      </c>
      <c r="G51" t="inlineStr">
        <is>
          <t>Gancho con el objeto cotidiano → origen → el momento de crisis → la decisión que lo cambió todo → la marca hoy → lección</t>
        </is>
      </c>
      <c r="H51" t="inlineStr">
        <is>
          <t>Motion graphics propios, fotos de archivo con licencia o dominio público, mapas, líneas de tiempo, productos fotografiados por nosotros</t>
        </is>
      </c>
      <c r="I51" t="inlineStr">
        <is>
          <t>M</t>
        </is>
      </c>
      <c r="J51" t="inlineStr">
        <is>
          <t>A</t>
        </is>
      </c>
      <c r="K51" t="inlineStr">
        <is>
          <t>Rigor histórico</t>
        </is>
      </c>
      <c r="L51" t="inlineStr">
        <is>
          <t>A</t>
        </is>
      </c>
      <c r="M51" t="inlineStr">
        <is>
          <t>A</t>
        </is>
      </c>
      <c r="N51" t="inlineStr">
        <is>
          <t>M</t>
        </is>
      </c>
      <c r="O51" t="n">
        <v>180</v>
      </c>
      <c r="P51" t="inlineStr">
        <is>
          <t>Curiosidad</t>
        </is>
      </c>
      <c r="Q51" t="inlineStr">
        <is>
          <t>M</t>
        </is>
      </c>
      <c r="R51" t="inlineStr">
        <is>
          <t>M</t>
        </is>
      </c>
      <c r="S51" t="inlineStr">
        <is>
          <t>A</t>
        </is>
      </c>
    </row>
    <row r="52">
      <c r="A52" t="n">
        <v>51</v>
      </c>
      <c r="B52" t="inlineStr">
        <is>
          <t>Experimentales</t>
        </is>
      </c>
      <c r="C52" t="inlineStr">
        <is>
          <t>Probamos 10 productos de marca blanca vs marca a ciegas</t>
        </is>
      </c>
      <c r="D52" t="inlineStr">
        <is>
          <t>Cata a ciegas con voces de participantes</t>
        </is>
      </c>
      <c r="E52" t="inlineStr">
        <is>
          <t>Entretenimiento + utilidad</t>
        </is>
      </c>
      <c r="F52" t="inlineStr">
        <is>
          <t>El resultado del yogur nos sorprendió</t>
        </is>
      </c>
      <c r="G52" t="inlineStr">
        <is>
          <t>Pregunta → 5-7 casos ordenados de menos a más sorprendente → patrón común</t>
        </is>
      </c>
      <c r="H52" t="inlineStr">
        <is>
          <t>Producto propio grabado (manos), gráficos</t>
        </is>
      </c>
      <c r="I52" t="inlineStr">
        <is>
          <t>M</t>
        </is>
      </c>
      <c r="J52" t="inlineStr">
        <is>
          <t>A</t>
        </is>
      </c>
      <c r="K52" t="inlineStr">
        <is>
          <t>Resultados como opinión; no difamar</t>
        </is>
      </c>
      <c r="L52" t="inlineStr">
        <is>
          <t>A</t>
        </is>
      </c>
      <c r="M52" t="inlineStr">
        <is>
          <t>A</t>
        </is>
      </c>
      <c r="N52" t="inlineStr">
        <is>
          <t>B</t>
        </is>
      </c>
      <c r="O52" t="n">
        <v>120</v>
      </c>
      <c r="P52" t="inlineStr">
        <is>
          <t>Curiosidad</t>
        </is>
      </c>
      <c r="Q52" t="inlineStr">
        <is>
          <t>M</t>
        </is>
      </c>
      <c r="R52" t="inlineStr">
        <is>
          <t>A</t>
        </is>
      </c>
      <c r="S52" t="inlineStr">
        <is>
          <t>A</t>
        </is>
      </c>
    </row>
    <row r="53">
      <c r="A53" t="n">
        <v>52</v>
      </c>
      <c r="B53" t="inlineStr">
        <is>
          <t>Experimentales</t>
        </is>
      </c>
      <c r="C53" t="inlineStr">
        <is>
          <t>La marca que más odias en España (encuesta a suscriptores)</t>
        </is>
      </c>
      <c r="D53" t="inlineStr">
        <is>
          <t>Contenido de comunidad</t>
        </is>
      </c>
      <c r="E53" t="inlineStr">
        <is>
          <t>Participación</t>
        </is>
      </c>
      <c r="F53" t="inlineStr">
        <is>
          <t>Vosotros votasteis</t>
        </is>
      </c>
      <c r="G53" t="inlineStr">
        <is>
          <t>Pregunta → 5-7 casos ordenados de menos a más sorprendente → patrón común</t>
        </is>
      </c>
      <c r="H53" t="inlineStr">
        <is>
          <t>Motion graphics propios, fotos de archivo con licencia o dominio público, mapas, líneas de tiempo, productos fotografiados por nosotros</t>
        </is>
      </c>
      <c r="I53" t="inlineStr">
        <is>
          <t>M</t>
        </is>
      </c>
      <c r="J53" t="inlineStr">
        <is>
          <t>A</t>
        </is>
      </c>
      <c r="K53" t="inlineStr">
        <is>
          <t>Verificar fechas y cifras; logotipo solo identificativo</t>
        </is>
      </c>
      <c r="L53" t="inlineStr">
        <is>
          <t>A</t>
        </is>
      </c>
      <c r="M53" t="inlineStr">
        <is>
          <t>A</t>
        </is>
      </c>
      <c r="N53" t="inlineStr">
        <is>
          <t>M</t>
        </is>
      </c>
      <c r="O53" t="n">
        <v>100</v>
      </c>
      <c r="P53" t="inlineStr">
        <is>
          <t>Curiosidad</t>
        </is>
      </c>
      <c r="Q53" t="inlineStr">
        <is>
          <t>B</t>
        </is>
      </c>
      <c r="R53" t="inlineStr">
        <is>
          <t>M</t>
        </is>
      </c>
      <c r="S53" t="inlineStr">
        <is>
          <t>A</t>
        </is>
      </c>
    </row>
    <row r="54">
      <c r="A54" t="n">
        <v>53</v>
      </c>
      <c r="B54" t="inlineStr">
        <is>
          <t>Experimentales</t>
        </is>
      </c>
      <c r="C54" t="inlineStr">
        <is>
          <t>Short-serie: 'Esta marca en 60 segundos'</t>
        </is>
      </c>
      <c r="D54" t="inlineStr">
        <is>
          <t>Shorts</t>
        </is>
      </c>
      <c r="E54" t="inlineStr">
        <is>
          <t>Descubrimiento</t>
        </is>
      </c>
      <c r="F54" t="inlineStr">
        <is>
          <t>En 60 segundos, la historia de…</t>
        </is>
      </c>
      <c r="G54" t="inlineStr">
        <is>
          <t>Dato chocante → 3 hitos → cierre</t>
        </is>
      </c>
      <c r="H54" t="inlineStr">
        <is>
          <t>Motion graphics propios, fotos de archivo con licencia o dominio público, mapas, líneas de tiempo, productos fotografiados por nosotros</t>
        </is>
      </c>
      <c r="I54" t="inlineStr">
        <is>
          <t>M</t>
        </is>
      </c>
      <c r="J54" t="inlineStr">
        <is>
          <t>A</t>
        </is>
      </c>
      <c r="K54" t="inlineStr">
        <is>
          <t>Verificar fechas y cifras; logotipo solo identificativo</t>
        </is>
      </c>
      <c r="L54" t="inlineStr">
        <is>
          <t>A</t>
        </is>
      </c>
      <c r="M54" t="inlineStr">
        <is>
          <t>A</t>
        </is>
      </c>
      <c r="N54" t="inlineStr">
        <is>
          <t>M</t>
        </is>
      </c>
      <c r="O54" t="n">
        <v>20</v>
      </c>
      <c r="P54" t="inlineStr">
        <is>
          <t>Curiosidad</t>
        </is>
      </c>
      <c r="Q54" t="inlineStr">
        <is>
          <t>A</t>
        </is>
      </c>
      <c r="R54" t="inlineStr">
        <is>
          <t>B</t>
        </is>
      </c>
      <c r="S54" t="inlineStr">
        <is>
          <t>A</t>
        </is>
      </c>
    </row>
    <row r="55">
      <c r="A55" t="n">
        <v>54</v>
      </c>
      <c r="B55" t="inlineStr">
        <is>
          <t>Experimentales</t>
        </is>
      </c>
      <c r="C55" t="inlineStr">
        <is>
          <t>Qué pasó con estas marcas que desaparecieron de España</t>
        </is>
      </c>
      <c r="D55" t="inlineStr">
        <is>
          <t>Nostalgia: Pryca, Continente, Galerías Preciados… (V)</t>
        </is>
      </c>
      <c r="E55" t="inlineStr">
        <is>
          <t>Nostalgia muy fuerte</t>
        </is>
      </c>
      <c r="F55" t="inlineStr">
        <is>
          <t>¿Te acuerdas de…?</t>
        </is>
      </c>
      <c r="G55" t="inlineStr">
        <is>
          <t>Pregunta → 5-7 casos ordenados de menos a más sorprendente → patrón común</t>
        </is>
      </c>
      <c r="H55" t="inlineStr">
        <is>
          <t>Motion graphics + hemeroteca (citas breves) + fotos de archivo con licencia + gráficos de cifras</t>
        </is>
      </c>
      <c r="I55" t="inlineStr">
        <is>
          <t>M</t>
        </is>
      </c>
      <c r="J55" t="inlineStr">
        <is>
          <t>A</t>
        </is>
      </c>
      <c r="K55" t="inlineStr">
        <is>
          <t>Verificar fechas y cifras; logotipo solo identificativo</t>
        </is>
      </c>
      <c r="L55" t="inlineStr">
        <is>
          <t>A</t>
        </is>
      </c>
      <c r="M55" t="inlineStr">
        <is>
          <t>A</t>
        </is>
      </c>
      <c r="N55" t="inlineStr">
        <is>
          <t>M</t>
        </is>
      </c>
      <c r="O55" t="n">
        <v>180</v>
      </c>
      <c r="P55" t="inlineStr">
        <is>
          <t>Curiosidad</t>
        </is>
      </c>
      <c r="Q55" t="inlineStr">
        <is>
          <t>B</t>
        </is>
      </c>
      <c r="R55" t="inlineStr">
        <is>
          <t>M</t>
        </is>
      </c>
      <c r="S55" t="inlineStr">
        <is>
          <t>A</t>
        </is>
      </c>
    </row>
    <row r="56">
      <c r="A56" t="n">
        <v>55</v>
      </c>
      <c r="B56" t="inlineStr">
        <is>
          <t>Experimentales</t>
        </is>
      </c>
      <c r="C56" t="inlineStr">
        <is>
          <t>Así sería tu casa sin productos inventados en España</t>
        </is>
      </c>
      <c r="D56" t="inlineStr">
        <is>
          <t>Fregona, chupa chups, futbolín… (verificar cada uno)</t>
        </is>
      </c>
      <c r="E56" t="inlineStr">
        <is>
          <t>Orgullo</t>
        </is>
      </c>
      <c r="F56" t="inlineStr">
        <is>
          <t>Mira tu cocina: hay más España de la que crees</t>
        </is>
      </c>
      <c r="G56" t="inlineStr">
        <is>
          <t>Pregunta → 5-7 casos ordenados de menos a más sorprendente → patrón común</t>
        </is>
      </c>
      <c r="H56" t="inlineStr">
        <is>
          <t>Motion graphics propios, fotos de archivo con licencia o dominio público, mapas, líneas de tiempo, productos fotografiados por nosotros</t>
        </is>
      </c>
      <c r="I56" t="inlineStr">
        <is>
          <t>M</t>
        </is>
      </c>
      <c r="J56" t="inlineStr">
        <is>
          <t>A</t>
        </is>
      </c>
      <c r="K56" t="inlineStr">
        <is>
          <t>Muchos 'inventos españoles' son discutidos: aclarar</t>
        </is>
      </c>
      <c r="L56" t="inlineStr">
        <is>
          <t>A</t>
        </is>
      </c>
      <c r="M56" t="inlineStr">
        <is>
          <t>A</t>
        </is>
      </c>
      <c r="N56" t="inlineStr">
        <is>
          <t>M</t>
        </is>
      </c>
      <c r="O56" t="n">
        <v>180</v>
      </c>
      <c r="P56" t="inlineStr">
        <is>
          <t>Curiosidad</t>
        </is>
      </c>
      <c r="Q56" t="inlineStr">
        <is>
          <t>M</t>
        </is>
      </c>
      <c r="R56" t="inlineStr">
        <is>
          <t>M</t>
        </is>
      </c>
      <c r="S56" t="inlineStr">
        <is>
          <t>A</t>
        </is>
      </c>
    </row>
    <row r="57">
      <c r="A57" t="n">
        <v>56</v>
      </c>
      <c r="B57" t="inlineStr">
        <is>
          <t>Experimentales</t>
        </is>
      </c>
      <c r="C57" t="inlineStr">
        <is>
          <t>El precio de una Coca-Cola desde 1950 hasta hoy</t>
        </is>
      </c>
      <c r="D57" t="inlineStr">
        <is>
          <t>Inflación explicada con un producto</t>
        </is>
      </c>
      <c r="E57" t="inlineStr">
        <is>
          <t>Divulgación económica accesible</t>
        </is>
      </c>
      <c r="F57" t="inlineStr">
        <is>
          <t>Lo que costaba un refresco cuando tus abuelos eran jóvenes</t>
        </is>
      </c>
      <c r="G57" t="inlineStr">
        <is>
          <t>Pregunta que todos se han hecho → respuesta corta → explicación con datos → lo que nadie cuenta</t>
        </is>
      </c>
      <c r="H57" t="inlineStr">
        <is>
          <t>Motion graphics propios, fotos de archivo con licencia o dominio público, mapas, líneas de tiempo, productos fotografiados por nosotros</t>
        </is>
      </c>
      <c r="I57" t="inlineStr">
        <is>
          <t>M</t>
        </is>
      </c>
      <c r="J57" t="inlineStr">
        <is>
          <t>A</t>
        </is>
      </c>
      <c r="K57" t="inlineStr">
        <is>
          <t>Fuentes de precios históricos</t>
        </is>
      </c>
      <c r="L57" t="inlineStr">
        <is>
          <t>A</t>
        </is>
      </c>
      <c r="M57" t="inlineStr">
        <is>
          <t>A</t>
        </is>
      </c>
      <c r="N57" t="inlineStr">
        <is>
          <t>M</t>
        </is>
      </c>
      <c r="O57" t="n">
        <v>180</v>
      </c>
      <c r="P57" t="inlineStr">
        <is>
          <t>Curiosidad</t>
        </is>
      </c>
      <c r="Q57" t="inlineStr">
        <is>
          <t>B</t>
        </is>
      </c>
      <c r="R57" t="inlineStr">
        <is>
          <t>M</t>
        </is>
      </c>
      <c r="S57" t="inlineStr">
        <is>
          <t>A</t>
        </is>
      </c>
    </row>
    <row r="58">
      <c r="A58" t="n">
        <v>57</v>
      </c>
      <c r="B58" t="inlineStr">
        <is>
          <t>Experimentales</t>
        </is>
      </c>
      <c r="C58" t="inlineStr">
        <is>
          <t>Tierlist de los mejores anuncios de la televisión española</t>
        </is>
      </c>
      <c r="D58" t="inlineStr">
        <is>
          <t>Ranking</t>
        </is>
      </c>
      <c r="E58" t="inlineStr">
        <is>
          <t>Nostalgia; comentarios</t>
        </is>
      </c>
      <c r="F58" t="inlineStr">
        <is>
          <t>Ponemos nota a los anuncios que marcaron tu infancia</t>
        </is>
      </c>
      <c r="G58" t="inlineStr">
        <is>
          <t>Pregunta → 5-7 casos ordenados de menos a más sorprendente → patrón común</t>
        </is>
      </c>
      <c r="H58" t="inlineStr">
        <is>
          <t>Motion graphics propios, fotos de archivo con licencia o dominio público, mapas, líneas de tiempo, productos fotografiados por nosotros</t>
        </is>
      </c>
      <c r="I58" t="inlineStr">
        <is>
          <t>M</t>
        </is>
      </c>
      <c r="J58" t="inlineStr">
        <is>
          <t>A</t>
        </is>
      </c>
      <c r="K58" t="inlineStr">
        <is>
          <t>Uso de fragmentos de anuncios: riesgo de copyright; usar descripciones y fotogramas mínimos citados</t>
        </is>
      </c>
      <c r="L58" t="inlineStr">
        <is>
          <t>A</t>
        </is>
      </c>
      <c r="M58" t="inlineStr">
        <is>
          <t>A</t>
        </is>
      </c>
      <c r="N58" t="inlineStr">
        <is>
          <t>M</t>
        </is>
      </c>
      <c r="O58" t="n">
        <v>180</v>
      </c>
      <c r="P58" t="inlineStr">
        <is>
          <t>Curiosidad</t>
        </is>
      </c>
      <c r="Q58" t="inlineStr">
        <is>
          <t>B</t>
        </is>
      </c>
      <c r="R58" t="inlineStr">
        <is>
          <t>M</t>
        </is>
      </c>
      <c r="S58" t="inlineStr">
        <is>
          <t>A</t>
        </is>
      </c>
    </row>
    <row r="59">
      <c r="A59" t="n">
        <v>58</v>
      </c>
      <c r="B59" t="inlineStr">
        <is>
          <t>Experimentales</t>
        </is>
      </c>
      <c r="C59" t="inlineStr">
        <is>
          <t>Cómo nace un producto en un supermercado (de la idea a la estantería)</t>
        </is>
      </c>
      <c r="D59" t="inlineStr">
        <is>
          <t>Proceso explicado</t>
        </is>
      </c>
      <c r="E59" t="inlineStr">
        <is>
          <t>Curiosidad</t>
        </is>
      </c>
      <c r="F59" t="inlineStr">
        <is>
          <t>Este yogur tardó 2 años en llegar a la estantería</t>
        </is>
      </c>
      <c r="G59" t="inlineStr">
        <is>
          <t>Pregunta que todos se han hecho → respuesta corta → explicación con datos → lo que nadie cuenta</t>
        </is>
      </c>
      <c r="H59" t="inlineStr">
        <is>
          <t>Motion graphics propios, fotos de archivo con licencia o dominio público, mapas, líneas de tiempo, productos fotografiados por nosotros</t>
        </is>
      </c>
      <c r="I59" t="inlineStr">
        <is>
          <t>M</t>
        </is>
      </c>
      <c r="J59" t="inlineStr">
        <is>
          <t>A</t>
        </is>
      </c>
      <c r="K59" t="inlineStr">
        <is>
          <t>Verificar fechas y cifras; logotipo solo identificativo</t>
        </is>
      </c>
      <c r="L59" t="inlineStr">
        <is>
          <t>A</t>
        </is>
      </c>
      <c r="M59" t="inlineStr">
        <is>
          <t>A</t>
        </is>
      </c>
      <c r="N59" t="inlineStr">
        <is>
          <t>M</t>
        </is>
      </c>
      <c r="O59" t="n">
        <v>180</v>
      </c>
      <c r="P59" t="inlineStr">
        <is>
          <t>Curiosidad</t>
        </is>
      </c>
      <c r="Q59" t="inlineStr">
        <is>
          <t>B</t>
        </is>
      </c>
      <c r="R59" t="inlineStr">
        <is>
          <t>M</t>
        </is>
      </c>
      <c r="S59" t="inlineStr">
        <is>
          <t>A</t>
        </is>
      </c>
    </row>
    <row r="60">
      <c r="A60" t="n">
        <v>59</v>
      </c>
      <c r="B60" t="inlineStr">
        <is>
          <t>Experimentales</t>
        </is>
      </c>
      <c r="C60" t="inlineStr">
        <is>
          <t>Las 5 marcas más antiguas del mundo que siguen abiertas</t>
        </is>
      </c>
      <c r="D60" t="inlineStr">
        <is>
          <t>Empresas centenarias</t>
        </is>
      </c>
      <c r="E60" t="inlineStr">
        <is>
          <t>Lista</t>
        </is>
      </c>
      <c r="F60" t="inlineStr">
        <is>
          <t>Esta empresa tiene más de 1.000 años</t>
        </is>
      </c>
      <c r="G60" t="inlineStr">
        <is>
          <t>Pregunta → 5-7 casos ordenados de menos a más sorprendente → patrón común</t>
        </is>
      </c>
      <c r="H60" t="inlineStr">
        <is>
          <t>Motion graphics propios, fotos de archivo con licencia o dominio público, mapas, líneas de tiempo, productos fotografiados por nosotros</t>
        </is>
      </c>
      <c r="I60" t="inlineStr">
        <is>
          <t>M</t>
        </is>
      </c>
      <c r="J60" t="inlineStr">
        <is>
          <t>A</t>
        </is>
      </c>
      <c r="K60" t="inlineStr">
        <is>
          <t>Verificar fechas</t>
        </is>
      </c>
      <c r="L60" t="inlineStr">
        <is>
          <t>A</t>
        </is>
      </c>
      <c r="M60" t="inlineStr">
        <is>
          <t>A</t>
        </is>
      </c>
      <c r="N60" t="inlineStr">
        <is>
          <t>M</t>
        </is>
      </c>
      <c r="O60" t="n">
        <v>180</v>
      </c>
      <c r="P60" t="inlineStr">
        <is>
          <t>Curiosidad</t>
        </is>
      </c>
      <c r="Q60" t="inlineStr">
        <is>
          <t>M</t>
        </is>
      </c>
      <c r="R60" t="inlineStr">
        <is>
          <t>M</t>
        </is>
      </c>
      <c r="S60" t="inlineStr">
        <is>
          <t>A</t>
        </is>
      </c>
    </row>
    <row r="61">
      <c r="A61" t="n">
        <v>60</v>
      </c>
      <c r="B61" t="inlineStr">
        <is>
          <t>Experimentales</t>
        </is>
      </c>
      <c r="C61" t="inlineStr">
        <is>
          <t>La guerra de los supermercados: Mercadona, Lidl, Carrefour, Dia (V)</t>
        </is>
      </c>
      <c r="D61" t="inlineStr">
        <is>
          <t>Estrategias comparadas</t>
        </is>
      </c>
      <c r="E61" t="inlineStr">
        <is>
          <t>Lo vives cada semana</t>
        </is>
      </c>
      <c r="F61" t="inlineStr">
        <is>
          <t>Cada uno quiere que compres de forma distinta</t>
        </is>
      </c>
      <c r="G61" t="inlineStr">
        <is>
          <t>La rivalidad en una frase → orígenes paralelos → golpes y contragolpes → quién ganó y por qué → qué queda hoy</t>
        </is>
      </c>
      <c r="H61" t="inlineStr">
        <is>
          <t>Motion graphics + hemeroteca (citas breves) + fotos de archivo con licencia + gráficos de cifras</t>
        </is>
      </c>
      <c r="I61" t="inlineStr">
        <is>
          <t>M</t>
        </is>
      </c>
      <c r="J61" t="inlineStr">
        <is>
          <t>A</t>
        </is>
      </c>
      <c r="K61" t="inlineStr">
        <is>
          <t>Verificar fechas y cifras; logotipo solo identificativo</t>
        </is>
      </c>
      <c r="L61" t="inlineStr">
        <is>
          <t>A</t>
        </is>
      </c>
      <c r="M61" t="inlineStr">
        <is>
          <t>A</t>
        </is>
      </c>
      <c r="N61" t="inlineStr">
        <is>
          <t>M</t>
        </is>
      </c>
      <c r="O61" t="n">
        <v>180</v>
      </c>
      <c r="P61" t="inlineStr">
        <is>
          <t>Curiosidad</t>
        </is>
      </c>
      <c r="Q61" t="inlineStr">
        <is>
          <t>M</t>
        </is>
      </c>
      <c r="R61" t="inlineStr">
        <is>
          <t>A</t>
        </is>
      </c>
      <c r="S61" t="inlineStr">
        <is>
          <t>A</t>
        </is>
      </c>
    </row>
    <row r="62">
      <c r="A62" t="n">
        <v>61</v>
      </c>
      <c r="B62" t="inlineStr">
        <is>
          <t>Experimentales</t>
        </is>
      </c>
      <c r="C62" t="inlineStr">
        <is>
          <t>Marcas que cambiaron de nombre (y por qué)</t>
        </is>
      </c>
      <c r="D62" t="inlineStr">
        <is>
          <t>Rebrandings</t>
        </is>
      </c>
      <c r="E62" t="inlineStr">
        <is>
          <t>Lista viral</t>
        </is>
      </c>
      <c r="F62" t="inlineStr">
        <is>
          <t>Tu marca favorita antes se llamaba…</t>
        </is>
      </c>
      <c r="G62" t="inlineStr">
        <is>
          <t>Pregunta → 5-7 casos ordenados de menos a más sorprendente → patrón común</t>
        </is>
      </c>
      <c r="H62" t="inlineStr">
        <is>
          <t>Motion graphics propios, fotos de archivo con licencia o dominio público, mapas, líneas de tiempo, productos fotografiados por nosotros</t>
        </is>
      </c>
      <c r="I62" t="inlineStr">
        <is>
          <t>M</t>
        </is>
      </c>
      <c r="J62" t="inlineStr">
        <is>
          <t>A</t>
        </is>
      </c>
      <c r="K62" t="inlineStr">
        <is>
          <t>Verificar fechas y cifras; logotipo solo identificativo</t>
        </is>
      </c>
      <c r="L62" t="inlineStr">
        <is>
          <t>A</t>
        </is>
      </c>
      <c r="M62" t="inlineStr">
        <is>
          <t>A</t>
        </is>
      </c>
      <c r="N62" t="inlineStr">
        <is>
          <t>M</t>
        </is>
      </c>
      <c r="O62" t="n">
        <v>180</v>
      </c>
      <c r="P62" t="inlineStr">
        <is>
          <t>Curiosidad</t>
        </is>
      </c>
      <c r="Q62" t="inlineStr">
        <is>
          <t>M</t>
        </is>
      </c>
      <c r="R62" t="inlineStr">
        <is>
          <t>M</t>
        </is>
      </c>
      <c r="S62" t="inlineStr">
        <is>
          <t>A</t>
        </is>
      </c>
    </row>
    <row r="63">
      <c r="A63" t="n">
        <v>62</v>
      </c>
      <c r="B63" t="inlineStr">
        <is>
          <t>Experimentales</t>
        </is>
      </c>
      <c r="C63" t="inlineStr">
        <is>
          <t>Qué empresa es dueña de todo lo que hay en tu nevera (V)</t>
        </is>
      </c>
      <c r="D63" t="inlineStr">
        <is>
          <t>Grandes grupos de alimentación</t>
        </is>
      </c>
      <c r="E63" t="inlineStr">
        <is>
          <t>Revelación</t>
        </is>
      </c>
      <c r="F63" t="inlineStr">
        <is>
          <t>Abre tu nevera: 10 marcas, 3 dueños</t>
        </is>
      </c>
      <c r="G63" t="inlineStr">
        <is>
          <t>Pregunta que todos se han hecho → respuesta corta → explicación con datos → lo que nadie cuenta</t>
        </is>
      </c>
      <c r="H63" t="inlineStr">
        <is>
          <t>Motion graphics propios, fotos de archivo con licencia o dominio público, mapas, líneas de tiempo, productos fotografiados por nosotros</t>
        </is>
      </c>
      <c r="I63" t="inlineStr">
        <is>
          <t>M</t>
        </is>
      </c>
      <c r="J63" t="inlineStr">
        <is>
          <t>A</t>
        </is>
      </c>
      <c r="K63" t="inlineStr">
        <is>
          <t>Propiedad actualizada</t>
        </is>
      </c>
      <c r="L63" t="inlineStr">
        <is>
          <t>A</t>
        </is>
      </c>
      <c r="M63" t="inlineStr">
        <is>
          <t>A</t>
        </is>
      </c>
      <c r="N63" t="inlineStr">
        <is>
          <t>M</t>
        </is>
      </c>
      <c r="O63" t="n">
        <v>180</v>
      </c>
      <c r="P63" t="inlineStr">
        <is>
          <t>Curiosidad</t>
        </is>
      </c>
      <c r="Q63" t="inlineStr">
        <is>
          <t>M</t>
        </is>
      </c>
      <c r="R63" t="inlineStr">
        <is>
          <t>M</t>
        </is>
      </c>
      <c r="S63" t="inlineStr">
        <is>
          <t>A</t>
        </is>
      </c>
    </row>
    <row r="64">
      <c r="A64" t="n">
        <v>63</v>
      </c>
      <c r="B64" t="inlineStr">
        <is>
          <t>Experimentales</t>
        </is>
      </c>
      <c r="C64" t="inlineStr">
        <is>
          <t>La historia de los Phoskitos, Bollycao y la merienda española de los 90</t>
        </is>
      </c>
      <c r="D64" t="inlineStr">
        <is>
          <t>Nostalgia de la bollería industrial</t>
        </is>
      </c>
      <c r="E64" t="inlineStr">
        <is>
          <t>Nostalgia</t>
        </is>
      </c>
      <c r="F64" t="inlineStr">
        <is>
          <t>La merienda que llevaba cromos</t>
        </is>
      </c>
      <c r="G64" t="inlineStr">
        <is>
          <t>Gancho con el objeto cotidiano → origen → el momento de crisis → la decisión que lo cambió todo → la marca hoy → lección</t>
        </is>
      </c>
      <c r="H64" t="inlineStr">
        <is>
          <t>Motion graphics + hemeroteca (citas breves) + fotos de archivo con licencia + gráficos de cifras</t>
        </is>
      </c>
      <c r="I64" t="inlineStr">
        <is>
          <t>M</t>
        </is>
      </c>
      <c r="J64" t="inlineStr">
        <is>
          <t>A</t>
        </is>
      </c>
      <c r="K64" t="inlineStr">
        <is>
          <t>Verificar fechas y cifras; logotipo solo identificativo</t>
        </is>
      </c>
      <c r="L64" t="inlineStr">
        <is>
          <t>A</t>
        </is>
      </c>
      <c r="M64" t="inlineStr">
        <is>
          <t>A</t>
        </is>
      </c>
      <c r="N64" t="inlineStr">
        <is>
          <t>M</t>
        </is>
      </c>
      <c r="O64" t="n">
        <v>180</v>
      </c>
      <c r="P64" t="inlineStr">
        <is>
          <t>Curiosidad</t>
        </is>
      </c>
      <c r="Q64" t="inlineStr">
        <is>
          <t>B</t>
        </is>
      </c>
      <c r="R64" t="inlineStr">
        <is>
          <t>M</t>
        </is>
      </c>
      <c r="S64" t="inlineStr">
        <is>
          <t>A</t>
        </is>
      </c>
    </row>
    <row r="65">
      <c r="A65" t="n">
        <v>64</v>
      </c>
      <c r="B65" t="inlineStr">
        <is>
          <t>Experimentales</t>
        </is>
      </c>
      <c r="C65" t="inlineStr">
        <is>
          <t>La marca más valiosa del mundo en 2026 (V)</t>
        </is>
      </c>
      <c r="D65" t="inlineStr">
        <is>
          <t>Rankings de marcas (Kantar, Interbrand)</t>
        </is>
      </c>
      <c r="E65" t="inlineStr">
        <is>
          <t>Actualidad evergreen anual</t>
        </is>
      </c>
      <c r="F65" t="inlineStr">
        <is>
          <t>El número 1 te sorprenderá… o no</t>
        </is>
      </c>
      <c r="G65" t="inlineStr">
        <is>
          <t>Pregunta → 5-7 casos ordenados de menos a más sorprendente → patrón común</t>
        </is>
      </c>
      <c r="H65" t="inlineStr">
        <is>
          <t>Motion graphics propios, fotos de archivo con licencia o dominio público, mapas, líneas de tiempo, productos fotografiados por nosotros</t>
        </is>
      </c>
      <c r="I65" t="inlineStr">
        <is>
          <t>M</t>
        </is>
      </c>
      <c r="J65" t="inlineStr">
        <is>
          <t>A</t>
        </is>
      </c>
      <c r="K65" t="inlineStr">
        <is>
          <t>Citar ranking y metodología</t>
        </is>
      </c>
      <c r="L65" t="inlineStr">
        <is>
          <t>A</t>
        </is>
      </c>
      <c r="M65" t="inlineStr">
        <is>
          <t>A</t>
        </is>
      </c>
      <c r="N65" t="inlineStr">
        <is>
          <t>M</t>
        </is>
      </c>
      <c r="O65" t="n">
        <v>180</v>
      </c>
      <c r="P65" t="inlineStr">
        <is>
          <t>Curiosidad</t>
        </is>
      </c>
      <c r="Q65" t="inlineStr">
        <is>
          <t>M</t>
        </is>
      </c>
      <c r="R65" t="inlineStr">
        <is>
          <t>M</t>
        </is>
      </c>
      <c r="S65" t="inlineStr">
        <is>
          <t>A</t>
        </is>
      </c>
    </row>
    <row r="66">
      <c r="A66" t="n">
        <v>65</v>
      </c>
      <c r="B66" t="inlineStr">
        <is>
          <t>Experimentales</t>
        </is>
      </c>
      <c r="C66" t="inlineStr">
        <is>
          <t>¿Por qué Amazon perdió dinero durante años y aun así ganó?</t>
        </is>
      </c>
      <c r="D66" t="inlineStr">
        <is>
          <t>Estrategia</t>
        </is>
      </c>
      <c r="E66" t="inlineStr">
        <is>
          <t>Curiosidad económica</t>
        </is>
      </c>
      <c r="F66" t="inlineStr">
        <is>
          <t>Perder dinero a propósito durante años</t>
        </is>
      </c>
      <c r="G66" t="inlineStr">
        <is>
          <t>Pregunta que todos se han hecho → respuesta corta → explicación con datos → lo que nadie cuenta</t>
        </is>
      </c>
      <c r="H66" t="inlineStr">
        <is>
          <t>Motion graphics propios, fotos de archivo con licencia o dominio público, mapas, líneas de tiempo, productos fotografiados por nosotros</t>
        </is>
      </c>
      <c r="I66" t="inlineStr">
        <is>
          <t>M</t>
        </is>
      </c>
      <c r="J66" t="inlineStr">
        <is>
          <t>A</t>
        </is>
      </c>
      <c r="K66" t="inlineStr">
        <is>
          <t>Verificar fechas y cifras; logotipo solo identificativo</t>
        </is>
      </c>
      <c r="L66" t="inlineStr">
        <is>
          <t>A</t>
        </is>
      </c>
      <c r="M66" t="inlineStr">
        <is>
          <t>A</t>
        </is>
      </c>
      <c r="N66" t="inlineStr">
        <is>
          <t>M</t>
        </is>
      </c>
      <c r="O66" t="n">
        <v>180</v>
      </c>
      <c r="P66" t="inlineStr">
        <is>
          <t>Curiosidad</t>
        </is>
      </c>
      <c r="Q66" t="inlineStr">
        <is>
          <t>A</t>
        </is>
      </c>
      <c r="R66" t="inlineStr">
        <is>
          <t>M</t>
        </is>
      </c>
      <c r="S66" t="inlineStr">
        <is>
          <t>A</t>
        </is>
      </c>
    </row>
    <row r="67">
      <c r="A67" t="n">
        <v>66</v>
      </c>
      <c r="B67" t="inlineStr">
        <is>
          <t>Experimentales</t>
        </is>
      </c>
      <c r="C67" t="inlineStr">
        <is>
          <t>El día que una marca pidió perdón: las disculpas más famosas</t>
        </is>
      </c>
      <c r="D67" t="inlineStr">
        <is>
          <t>Crisis de reputación</t>
        </is>
      </c>
      <c r="E67" t="inlineStr">
        <is>
          <t>Drama</t>
        </is>
      </c>
      <c r="F67" t="inlineStr">
        <is>
          <t>Este tuit les costó millones</t>
        </is>
      </c>
      <c r="G67" t="inlineStr">
        <is>
          <t>Pregunta → 5-7 casos ordenados de menos a más sorprendente → patrón común</t>
        </is>
      </c>
      <c r="H67" t="inlineStr">
        <is>
          <t>Motion graphics propios, fotos de archivo con licencia o dominio público, mapas, líneas de tiempo, productos fotografiados por nosotros</t>
        </is>
      </c>
      <c r="I67" t="inlineStr">
        <is>
          <t>M</t>
        </is>
      </c>
      <c r="J67" t="inlineStr">
        <is>
          <t>A</t>
        </is>
      </c>
      <c r="K67" t="inlineStr">
        <is>
          <t>Verificar fechas y cifras; logotipo solo identificativo</t>
        </is>
      </c>
      <c r="L67" t="inlineStr">
        <is>
          <t>A</t>
        </is>
      </c>
      <c r="M67" t="inlineStr">
        <is>
          <t>A</t>
        </is>
      </c>
      <c r="N67" t="inlineStr">
        <is>
          <t>M</t>
        </is>
      </c>
      <c r="O67" t="n">
        <v>180</v>
      </c>
      <c r="P67" t="inlineStr">
        <is>
          <t>Curiosidad</t>
        </is>
      </c>
      <c r="Q67" t="inlineStr">
        <is>
          <t>M</t>
        </is>
      </c>
      <c r="R67" t="inlineStr">
        <is>
          <t>M</t>
        </is>
      </c>
      <c r="S67" t="inlineStr">
        <is>
          <t>A</t>
        </is>
      </c>
    </row>
    <row r="68">
      <c r="A68" t="n">
        <v>67</v>
      </c>
      <c r="B68" t="inlineStr">
        <is>
          <t>Experimentales</t>
        </is>
      </c>
      <c r="C68" t="inlineStr">
        <is>
          <t>Historias de marcas latinoamericanas: Oxxo, Rappi, Mercado Libre (V)</t>
        </is>
      </c>
      <c r="D68" t="inlineStr">
        <is>
          <t>Serie LatAm</t>
        </is>
      </c>
      <c r="E68" t="inlineStr">
        <is>
          <t>Ampliar audiencia</t>
        </is>
      </c>
      <c r="F68" t="inlineStr">
        <is>
          <t>La tienda que está en cada esquina de México</t>
        </is>
      </c>
      <c r="G68" t="inlineStr">
        <is>
          <t>Gancho con el objeto cotidiano → origen → el momento de crisis → la decisión que lo cambió todo → la marca hoy → lección</t>
        </is>
      </c>
      <c r="H68" t="inlineStr">
        <is>
          <t>Motion graphics + hemeroteca (citas breves) + fotos de archivo con licencia + gráficos de cifras</t>
        </is>
      </c>
      <c r="I68" t="inlineStr">
        <is>
          <t>M</t>
        </is>
      </c>
      <c r="J68" t="inlineStr">
        <is>
          <t>A</t>
        </is>
      </c>
      <c r="K68" t="inlineStr">
        <is>
          <t>Verificar fechas y cifras; logotipo solo identificativo</t>
        </is>
      </c>
      <c r="L68" t="inlineStr">
        <is>
          <t>A</t>
        </is>
      </c>
      <c r="M68" t="inlineStr">
        <is>
          <t>A</t>
        </is>
      </c>
      <c r="N68" t="inlineStr">
        <is>
          <t>M</t>
        </is>
      </c>
      <c r="O68" t="n">
        <v>180</v>
      </c>
      <c r="P68" t="inlineStr">
        <is>
          <t>Curiosidad</t>
        </is>
      </c>
      <c r="Q68" t="inlineStr">
        <is>
          <t>B</t>
        </is>
      </c>
      <c r="R68" t="inlineStr">
        <is>
          <t>M</t>
        </is>
      </c>
      <c r="S68" t="inlineStr">
        <is>
          <t>A</t>
        </is>
      </c>
    </row>
    <row r="69">
      <c r="A69" t="n">
        <v>68</v>
      </c>
      <c r="B69" t="inlineStr">
        <is>
          <t>Experimentales</t>
        </is>
      </c>
      <c r="C69" t="inlineStr">
        <is>
          <t>Reacciono a vuestras teorías sobre marcas (con voz, sin cara)</t>
        </is>
      </c>
      <c r="D69" t="inlineStr">
        <is>
          <t>Comunidad</t>
        </is>
      </c>
      <c r="E69" t="inlineStr">
        <is>
          <t>Fidelidad</t>
        </is>
      </c>
      <c r="F69" t="inlineStr">
        <is>
          <t>Habéis escrito cosas increíbles</t>
        </is>
      </c>
      <c r="G69" t="inlineStr">
        <is>
          <t>Pregunta → 5-7 casos ordenados de menos a más sorprendente → patrón común</t>
        </is>
      </c>
      <c r="H69" t="inlineStr">
        <is>
          <t>Motion graphics propios, fotos de archivo con licencia o dominio público, mapas, líneas de tiempo, productos fotografiados por nosotros</t>
        </is>
      </c>
      <c r="I69" t="inlineStr">
        <is>
          <t>M</t>
        </is>
      </c>
      <c r="J69" t="inlineStr">
        <is>
          <t>A</t>
        </is>
      </c>
      <c r="K69" t="inlineStr">
        <is>
          <t>Verificar fechas y cifras; logotipo solo identificativo</t>
        </is>
      </c>
      <c r="L69" t="inlineStr">
        <is>
          <t>A</t>
        </is>
      </c>
      <c r="M69" t="inlineStr">
        <is>
          <t>A</t>
        </is>
      </c>
      <c r="N69" t="inlineStr">
        <is>
          <t>M</t>
        </is>
      </c>
      <c r="O69" t="n">
        <v>80</v>
      </c>
      <c r="P69" t="inlineStr">
        <is>
          <t>Curiosidad</t>
        </is>
      </c>
      <c r="Q69" t="inlineStr">
        <is>
          <t>B</t>
        </is>
      </c>
      <c r="R69" t="inlineStr">
        <is>
          <t>B</t>
        </is>
      </c>
      <c r="S69" t="inlineStr">
        <is>
          <t>A</t>
        </is>
      </c>
    </row>
    <row r="70">
      <c r="A70" t="n">
        <v>69</v>
      </c>
      <c r="B70" t="inlineStr">
        <is>
          <t>Experimentales</t>
        </is>
      </c>
      <c r="C70" t="inlineStr">
        <is>
          <t>La fórmula secreta de Coca-Cola: ¿mito o realidad?</t>
        </is>
      </c>
      <c r="D70" t="inlineStr">
        <is>
          <t>Secreto comercial como marketing</t>
        </is>
      </c>
      <c r="E70" t="inlineStr">
        <is>
          <t>Misterio</t>
        </is>
      </c>
      <c r="F70" t="inlineStr">
        <is>
          <t>Está en una cámara acorazada… para que la veas</t>
        </is>
      </c>
      <c r="G70" t="inlineStr">
        <is>
          <t>Pregunta que todos se han hecho → respuesta corta → explicación con datos → lo que nadie cuenta</t>
        </is>
      </c>
      <c r="H70" t="inlineStr">
        <is>
          <t>Motion graphics propios, fotos de archivo con licencia o dominio público, mapas, líneas de tiempo, productos fotografiados por nosotros</t>
        </is>
      </c>
      <c r="I70" t="inlineStr">
        <is>
          <t>M</t>
        </is>
      </c>
      <c r="J70" t="inlineStr">
        <is>
          <t>A</t>
        </is>
      </c>
      <c r="K70" t="inlineStr">
        <is>
          <t>Verificar fechas y cifras; logotipo solo identificativo</t>
        </is>
      </c>
      <c r="L70" t="inlineStr">
        <is>
          <t>A</t>
        </is>
      </c>
      <c r="M70" t="inlineStr">
        <is>
          <t>A</t>
        </is>
      </c>
      <c r="N70" t="inlineStr">
        <is>
          <t>M</t>
        </is>
      </c>
      <c r="O70" t="n">
        <v>180</v>
      </c>
      <c r="P70" t="inlineStr">
        <is>
          <t>Curiosidad</t>
        </is>
      </c>
      <c r="Q70" t="inlineStr">
        <is>
          <t>M</t>
        </is>
      </c>
      <c r="R70" t="inlineStr">
        <is>
          <t>M</t>
        </is>
      </c>
      <c r="S70" t="inlineStr">
        <is>
          <t>A</t>
        </is>
      </c>
    </row>
    <row r="71">
      <c r="A71" t="n">
        <v>70</v>
      </c>
      <c r="B71" t="inlineStr">
        <is>
          <t>Experimentales</t>
        </is>
      </c>
      <c r="C71" t="inlineStr">
        <is>
          <t>Marcas que nacieron en un garaje</t>
        </is>
      </c>
      <c r="D71" t="inlineStr">
        <is>
          <t>Apple, Google, Harley… (verificar)</t>
        </is>
      </c>
      <c r="E71" t="inlineStr">
        <is>
          <t>Inspiración</t>
        </is>
      </c>
      <c r="F71" t="inlineStr">
        <is>
          <t>El garaje más caro de la historia</t>
        </is>
      </c>
      <c r="G71" t="inlineStr">
        <is>
          <t>Pregunta → 5-7 casos ordenados de menos a más sorprendente → patrón común</t>
        </is>
      </c>
      <c r="H71" t="inlineStr">
        <is>
          <t>Motion graphics propios, fotos de archivo con licencia o dominio público, mapas, líneas de tiempo, productos fotografiados por nosotros</t>
        </is>
      </c>
      <c r="I71" t="inlineStr">
        <is>
          <t>M</t>
        </is>
      </c>
      <c r="J71" t="inlineStr">
        <is>
          <t>A</t>
        </is>
      </c>
      <c r="K71" t="inlineStr">
        <is>
          <t>Verificar fechas y cifras; logotipo solo identificativo</t>
        </is>
      </c>
      <c r="L71" t="inlineStr">
        <is>
          <t>A</t>
        </is>
      </c>
      <c r="M71" t="inlineStr">
        <is>
          <t>A</t>
        </is>
      </c>
      <c r="N71" t="inlineStr">
        <is>
          <t>M</t>
        </is>
      </c>
      <c r="O71" t="n">
        <v>180</v>
      </c>
      <c r="P71" t="inlineStr">
        <is>
          <t>Curiosidad</t>
        </is>
      </c>
      <c r="Q71" t="inlineStr">
        <is>
          <t>A</t>
        </is>
      </c>
      <c r="R71" t="inlineStr">
        <is>
          <t>M</t>
        </is>
      </c>
      <c r="S71" t="inlineStr">
        <is>
          <t>A</t>
        </is>
      </c>
    </row>
    <row r="72">
      <c r="A72" t="n">
        <v>71</v>
      </c>
      <c r="B72" t="inlineStr">
        <is>
          <t>Profundización</t>
        </is>
      </c>
      <c r="C72" t="inlineStr">
        <is>
          <t>Inditex: documental completo (40 min)</t>
        </is>
      </c>
      <c r="D72" t="inlineStr">
        <is>
          <t>Vídeo pilar</t>
        </is>
      </c>
      <c r="E72" t="inlineStr">
        <is>
          <t>Maratón</t>
        </is>
      </c>
      <c r="F72" t="inlineStr">
        <is>
          <t>La historia completa de la mayor empresa de moda del mundo</t>
        </is>
      </c>
      <c r="G72" t="inlineStr">
        <is>
          <t>Gancho con el objeto cotidiano → origen → el momento de crisis → la decisión que lo cambió todo → la marca hoy → lección</t>
        </is>
      </c>
      <c r="H72" t="inlineStr">
        <is>
          <t>Motion graphics + hemeroteca (citas breves) + fotos de archivo con licencia + gráficos de cifras</t>
        </is>
      </c>
      <c r="I72" t="inlineStr">
        <is>
          <t>A</t>
        </is>
      </c>
      <c r="J72" t="inlineStr">
        <is>
          <t>A</t>
        </is>
      </c>
      <c r="K72" t="inlineStr">
        <is>
          <t>Verificar fechas y cifras; logotipo solo identificativo</t>
        </is>
      </c>
      <c r="L72" t="inlineStr">
        <is>
          <t>A</t>
        </is>
      </c>
      <c r="M72" t="inlineStr">
        <is>
          <t>A</t>
        </is>
      </c>
      <c r="N72" t="inlineStr">
        <is>
          <t>M</t>
        </is>
      </c>
      <c r="O72" t="n">
        <v>350</v>
      </c>
      <c r="P72" t="inlineStr">
        <is>
          <t>Curiosidad</t>
        </is>
      </c>
      <c r="Q72" t="inlineStr">
        <is>
          <t>M</t>
        </is>
      </c>
      <c r="R72" t="inlineStr">
        <is>
          <t>A</t>
        </is>
      </c>
      <c r="S72" t="inlineStr">
        <is>
          <t>A</t>
        </is>
      </c>
    </row>
    <row r="73">
      <c r="A73" t="n">
        <v>72</v>
      </c>
      <c r="B73" t="inlineStr">
        <is>
          <t>Profundización</t>
        </is>
      </c>
      <c r="C73" t="inlineStr">
        <is>
          <t>La crisis de Rumasa: la expropiación más famosa de España</t>
        </is>
      </c>
      <c r="D73" t="inlineStr">
        <is>
          <t>Ruiz-Mateos, 1983</t>
        </is>
      </c>
      <c r="E73" t="inlineStr">
        <is>
          <t>Historia económica española</t>
        </is>
      </c>
      <c r="F73" t="inlineStr">
        <is>
          <t>Un gobierno se quedó con 700 empresas en una noche</t>
        </is>
      </c>
      <c r="G73" t="inlineStr">
        <is>
          <t>La cima → las grietas → la decisión fatal → el derrumbe → qué podría haber salvado la empresa</t>
        </is>
      </c>
      <c r="H73" t="inlineStr">
        <is>
          <t>Motion graphics + hemeroteca (citas breves) + fotos de archivo con licencia + gráficos de cifras</t>
        </is>
      </c>
      <c r="I73" t="inlineStr">
        <is>
          <t>A</t>
        </is>
      </c>
      <c r="J73" t="inlineStr">
        <is>
          <t>A</t>
        </is>
      </c>
      <c r="K73" t="inlineStr">
        <is>
          <t>Rigor; personas fallecidas y vivas; honor</t>
        </is>
      </c>
      <c r="L73" t="inlineStr">
        <is>
          <t>A</t>
        </is>
      </c>
      <c r="M73" t="inlineStr">
        <is>
          <t>A</t>
        </is>
      </c>
      <c r="N73" t="inlineStr">
        <is>
          <t>M</t>
        </is>
      </c>
      <c r="O73" t="n">
        <v>250</v>
      </c>
      <c r="P73" t="inlineStr">
        <is>
          <t>Curiosidad</t>
        </is>
      </c>
      <c r="Q73" t="inlineStr">
        <is>
          <t>B</t>
        </is>
      </c>
      <c r="R73" t="inlineStr">
        <is>
          <t>M</t>
        </is>
      </c>
      <c r="S73" t="inlineStr">
        <is>
          <t>A</t>
        </is>
      </c>
    </row>
    <row r="74">
      <c r="A74" t="n">
        <v>73</v>
      </c>
      <c r="B74" t="inlineStr">
        <is>
          <t>Profundización</t>
        </is>
      </c>
      <c r="C74" t="inlineStr">
        <is>
          <t>Fórum Filatélico y Afinsa: el fraude de los sellos</t>
        </is>
      </c>
      <c r="D74" t="inlineStr">
        <is>
          <t>Estafa piramidal</t>
        </is>
      </c>
      <c r="E74" t="inlineStr">
        <is>
          <t>Muchos afectados; memoria colectiva</t>
        </is>
      </c>
      <c r="F74" t="inlineStr">
        <is>
          <t>Miles de familias invirtieron en sellos</t>
        </is>
      </c>
      <c r="G74" t="inlineStr">
        <is>
          <t>La cima → las grietas → la decisión fatal → el derrumbe → qué podría haber salvado la empresa</t>
        </is>
      </c>
      <c r="H74" t="inlineStr">
        <is>
          <t>Motion graphics + hemeroteca (citas breves) + fotos de archivo con licencia + gráficos de cifras</t>
        </is>
      </c>
      <c r="I74" t="inlineStr">
        <is>
          <t>A</t>
        </is>
      </c>
      <c r="J74" t="inlineStr">
        <is>
          <t>A</t>
        </is>
      </c>
      <c r="K74" t="inlineStr">
        <is>
          <t>Sentencias firmes</t>
        </is>
      </c>
      <c r="L74" t="inlineStr">
        <is>
          <t>A</t>
        </is>
      </c>
      <c r="M74" t="inlineStr">
        <is>
          <t>A</t>
        </is>
      </c>
      <c r="N74" t="inlineStr">
        <is>
          <t>M</t>
        </is>
      </c>
      <c r="O74" t="n">
        <v>250</v>
      </c>
      <c r="P74" t="inlineStr">
        <is>
          <t>Curiosidad</t>
        </is>
      </c>
      <c r="Q74" t="inlineStr">
        <is>
          <t>B</t>
        </is>
      </c>
      <c r="R74" t="inlineStr">
        <is>
          <t>M</t>
        </is>
      </c>
      <c r="S74" t="inlineStr">
        <is>
          <t>A</t>
        </is>
      </c>
    </row>
    <row r="75">
      <c r="A75" t="n">
        <v>74</v>
      </c>
      <c r="B75" t="inlineStr">
        <is>
          <t>Profundización</t>
        </is>
      </c>
      <c r="C75" t="inlineStr">
        <is>
          <t>Cómo funciona la publicidad que ves (y por qué funciona)</t>
        </is>
      </c>
      <c r="D75" t="inlineStr">
        <is>
          <t>Psicología publicitaria</t>
        </is>
      </c>
      <c r="E75" t="inlineStr">
        <is>
          <t>Divulgación</t>
        </is>
      </c>
      <c r="F75" t="inlineStr">
        <is>
          <t>Tu cerebro decide antes que tú</t>
        </is>
      </c>
      <c r="G75" t="inlineStr">
        <is>
          <t>Pregunta que todos se han hecho → respuesta corta → explicación con datos → lo que nadie cuenta</t>
        </is>
      </c>
      <c r="H75" t="inlineStr">
        <is>
          <t>Motion graphics propios, fotos de archivo con licencia o dominio público, mapas, líneas de tiempo, productos fotografiados por nosotros</t>
        </is>
      </c>
      <c r="I75" t="inlineStr">
        <is>
          <t>M</t>
        </is>
      </c>
      <c r="J75" t="inlineStr">
        <is>
          <t>A</t>
        </is>
      </c>
      <c r="K75" t="inlineStr">
        <is>
          <t>Verificar fechas y cifras; logotipo solo identificativo</t>
        </is>
      </c>
      <c r="L75" t="inlineStr">
        <is>
          <t>A</t>
        </is>
      </c>
      <c r="M75" t="inlineStr">
        <is>
          <t>A</t>
        </is>
      </c>
      <c r="N75" t="inlineStr">
        <is>
          <t>M</t>
        </is>
      </c>
      <c r="O75" t="n">
        <v>200</v>
      </c>
      <c r="P75" t="inlineStr">
        <is>
          <t>Curiosidad</t>
        </is>
      </c>
      <c r="Q75" t="inlineStr">
        <is>
          <t>M</t>
        </is>
      </c>
      <c r="R75" t="inlineStr">
        <is>
          <t>M</t>
        </is>
      </c>
      <c r="S75" t="inlineStr">
        <is>
          <t>A</t>
        </is>
      </c>
    </row>
    <row r="76">
      <c r="A76" t="n">
        <v>75</v>
      </c>
      <c r="B76" t="inlineStr">
        <is>
          <t>Profundización</t>
        </is>
      </c>
      <c r="C76" t="inlineStr">
        <is>
          <t>La historia del supermercado: de la tienda de barrio al autoservicio</t>
        </is>
      </c>
      <c r="D76" t="inlineStr">
        <is>
          <t>Historia del comercio</t>
        </is>
      </c>
      <c r="E76" t="inlineStr">
        <is>
          <t>Contexto general</t>
        </is>
      </c>
      <c r="F76" t="inlineStr">
        <is>
          <t>Antes, alguien te traía cada producto</t>
        </is>
      </c>
      <c r="G76" t="inlineStr">
        <is>
          <t>Gancho con el objeto cotidiano → origen → el momento de crisis → la decisión que lo cambió todo → la marca hoy → lección</t>
        </is>
      </c>
      <c r="H76" t="inlineStr">
        <is>
          <t>Motion graphics propios, fotos de archivo con licencia o dominio público, mapas, líneas de tiempo, productos fotografiados por nosotros</t>
        </is>
      </c>
      <c r="I76" t="inlineStr">
        <is>
          <t>M</t>
        </is>
      </c>
      <c r="J76" t="inlineStr">
        <is>
          <t>A</t>
        </is>
      </c>
      <c r="K76" t="inlineStr">
        <is>
          <t>Verificar fechas y cifras; logotipo solo identificativo</t>
        </is>
      </c>
      <c r="L76" t="inlineStr">
        <is>
          <t>A</t>
        </is>
      </c>
      <c r="M76" t="inlineStr">
        <is>
          <t>A</t>
        </is>
      </c>
      <c r="N76" t="inlineStr">
        <is>
          <t>M</t>
        </is>
      </c>
      <c r="O76" t="n">
        <v>200</v>
      </c>
      <c r="P76" t="inlineStr">
        <is>
          <t>Curiosidad</t>
        </is>
      </c>
      <c r="Q76" t="inlineStr">
        <is>
          <t>B</t>
        </is>
      </c>
      <c r="R76" t="inlineStr">
        <is>
          <t>M</t>
        </is>
      </c>
      <c r="S76" t="inlineStr">
        <is>
          <t>A</t>
        </is>
      </c>
    </row>
    <row r="77">
      <c r="A77" t="n">
        <v>76</v>
      </c>
      <c r="B77" t="inlineStr">
        <is>
          <t>Profundización</t>
        </is>
      </c>
      <c r="C77" t="inlineStr">
        <is>
          <t>Coca-Cola en España: 70 años de historia (V)</t>
        </is>
      </c>
      <c r="D77" t="inlineStr">
        <is>
          <t>Llegada, fábricas, anuncios</t>
        </is>
      </c>
      <c r="E77" t="inlineStr">
        <is>
          <t>Local</t>
        </is>
      </c>
      <c r="F77" t="inlineStr">
        <is>
          <t>Llegó a España en los años 50…</t>
        </is>
      </c>
      <c r="G77" t="inlineStr">
        <is>
          <t>Gancho con el objeto cotidiano → origen → el momento de crisis → la decisión que lo cambió todo → la marca hoy → lección</t>
        </is>
      </c>
      <c r="H77" t="inlineStr">
        <is>
          <t>Motion graphics + hemeroteca (citas breves) + fotos de archivo con licencia + gráficos de cifras</t>
        </is>
      </c>
      <c r="I77" t="inlineStr">
        <is>
          <t>M</t>
        </is>
      </c>
      <c r="J77" t="inlineStr">
        <is>
          <t>A</t>
        </is>
      </c>
      <c r="K77" t="inlineStr">
        <is>
          <t>Contrastar con fuentes independientes, no solo corporativas</t>
        </is>
      </c>
      <c r="L77" t="inlineStr">
        <is>
          <t>A</t>
        </is>
      </c>
      <c r="M77" t="inlineStr">
        <is>
          <t>A</t>
        </is>
      </c>
      <c r="N77" t="inlineStr">
        <is>
          <t>M</t>
        </is>
      </c>
      <c r="O77" t="n">
        <v>180</v>
      </c>
      <c r="P77" t="inlineStr">
        <is>
          <t>Curiosidad</t>
        </is>
      </c>
      <c r="Q77" t="inlineStr">
        <is>
          <t>B</t>
        </is>
      </c>
      <c r="R77" t="inlineStr">
        <is>
          <t>M</t>
        </is>
      </c>
      <c r="S77" t="inlineStr">
        <is>
          <t>A</t>
        </is>
      </c>
    </row>
    <row r="78">
      <c r="A78" t="n">
        <v>77</v>
      </c>
      <c r="B78" t="inlineStr">
        <is>
          <t>Profundización</t>
        </is>
      </c>
      <c r="C78" t="inlineStr">
        <is>
          <t>Disney: cómo un ratón construyó un imperio</t>
        </is>
      </c>
      <c r="D78" t="inlineStr">
        <is>
          <t>Documental largo</t>
        </is>
      </c>
      <c r="E78" t="inlineStr">
        <is>
          <t>Universal</t>
        </is>
      </c>
      <c r="F78" t="inlineStr">
        <is>
          <t>Todo empezó con un conejo que le robaron</t>
        </is>
      </c>
      <c r="G78" t="inlineStr">
        <is>
          <t>Gancho con el objeto cotidiano → origen → el momento de crisis → la decisión que lo cambió todo → la marca hoy → lección</t>
        </is>
      </c>
      <c r="H78" t="inlineStr">
        <is>
          <t>Motion graphics propios, fotos de archivo con licencia o dominio público, mapas, líneas de tiempo, productos fotografiados por nosotros</t>
        </is>
      </c>
      <c r="I78" t="inlineStr">
        <is>
          <t>A</t>
        </is>
      </c>
      <c r="J78" t="inlineStr">
        <is>
          <t>A</t>
        </is>
      </c>
      <c r="K78" t="inlineStr">
        <is>
          <t>Imágenes de Disney: NO usar fotogramas; ilustración propia</t>
        </is>
      </c>
      <c r="L78" t="inlineStr">
        <is>
          <t>A</t>
        </is>
      </c>
      <c r="M78" t="inlineStr">
        <is>
          <t>A</t>
        </is>
      </c>
      <c r="N78" t="inlineStr">
        <is>
          <t>M</t>
        </is>
      </c>
      <c r="O78" t="n">
        <v>300</v>
      </c>
      <c r="P78" t="inlineStr">
        <is>
          <t>Curiosidad</t>
        </is>
      </c>
      <c r="Q78" t="inlineStr">
        <is>
          <t>A</t>
        </is>
      </c>
      <c r="R78" t="inlineStr">
        <is>
          <t>M</t>
        </is>
      </c>
      <c r="S78" t="inlineStr">
        <is>
          <t>A</t>
        </is>
      </c>
    </row>
    <row r="79">
      <c r="A79" t="n">
        <v>78</v>
      </c>
      <c r="B79" t="inlineStr">
        <is>
          <t>Profundización</t>
        </is>
      </c>
      <c r="C79" t="inlineStr">
        <is>
          <t>La historia de la marca más copiada del mundo</t>
        </is>
      </c>
      <c r="D79" t="inlineStr">
        <is>
          <t>Falsificaciones (Louis Vuitton/Nike…)</t>
        </is>
      </c>
      <c r="E79" t="inlineStr">
        <is>
          <t>Curiosidad</t>
        </is>
      </c>
      <c r="F79" t="inlineStr">
        <is>
          <t>La marca que más dinero pierde por copias</t>
        </is>
      </c>
      <c r="G79" t="inlineStr">
        <is>
          <t>Gancho con el objeto cotidiano → origen → el momento de crisis → la decisión que lo cambió todo → la marca hoy → lección</t>
        </is>
      </c>
      <c r="H79" t="inlineStr">
        <is>
          <t>Motion graphics propios, fotos de archivo con licencia o dominio público, mapas, líneas de tiempo, productos fotografiados por nosotros</t>
        </is>
      </c>
      <c r="I79" t="inlineStr">
        <is>
          <t>M</t>
        </is>
      </c>
      <c r="J79" t="inlineStr">
        <is>
          <t>A</t>
        </is>
      </c>
      <c r="K79" t="inlineStr">
        <is>
          <t>Verificar fechas y cifras; logotipo solo identificativo</t>
        </is>
      </c>
      <c r="L79" t="inlineStr">
        <is>
          <t>A</t>
        </is>
      </c>
      <c r="M79" t="inlineStr">
        <is>
          <t>A</t>
        </is>
      </c>
      <c r="N79" t="inlineStr">
        <is>
          <t>M</t>
        </is>
      </c>
      <c r="O79" t="n">
        <v>200</v>
      </c>
      <c r="P79" t="inlineStr">
        <is>
          <t>Curiosidad</t>
        </is>
      </c>
      <c r="Q79" t="inlineStr">
        <is>
          <t>M</t>
        </is>
      </c>
      <c r="R79" t="inlineStr">
        <is>
          <t>M</t>
        </is>
      </c>
      <c r="S79" t="inlineStr">
        <is>
          <t>A</t>
        </is>
      </c>
    </row>
    <row r="80">
      <c r="A80" t="n">
        <v>79</v>
      </c>
      <c r="B80" t="inlineStr">
        <is>
          <t>Profundización</t>
        </is>
      </c>
      <c r="C80" t="inlineStr">
        <is>
          <t>Samsung: de vender pescado a fabricar tu móvil</t>
        </is>
      </c>
      <c r="D80" t="inlineStr">
        <is>
          <t>Origen como comercializadora</t>
        </is>
      </c>
      <c r="E80" t="inlineStr">
        <is>
          <t>Sorpresa</t>
        </is>
      </c>
      <c r="F80" t="inlineStr">
        <is>
          <t>Samsung empezó vendiendo pescado seco y fideos</t>
        </is>
      </c>
      <c r="G80" t="inlineStr">
        <is>
          <t>Gancho con el objeto cotidiano → origen → el momento de crisis → la decisión que lo cambió todo → la marca hoy → lección</t>
        </is>
      </c>
      <c r="H80" t="inlineStr">
        <is>
          <t>Motion graphics propios, fotos de archivo con licencia o dominio público, mapas, líneas de tiempo, productos fotografiados por nosotros</t>
        </is>
      </c>
      <c r="I80" t="inlineStr">
        <is>
          <t>M</t>
        </is>
      </c>
      <c r="J80" t="inlineStr">
        <is>
          <t>A</t>
        </is>
      </c>
      <c r="K80" t="inlineStr">
        <is>
          <t>Verificar origen</t>
        </is>
      </c>
      <c r="L80" t="inlineStr">
        <is>
          <t>A</t>
        </is>
      </c>
      <c r="M80" t="inlineStr">
        <is>
          <t>A</t>
        </is>
      </c>
      <c r="N80" t="inlineStr">
        <is>
          <t>M</t>
        </is>
      </c>
      <c r="O80" t="n">
        <v>200</v>
      </c>
      <c r="P80" t="inlineStr">
        <is>
          <t>Curiosidad</t>
        </is>
      </c>
      <c r="Q80" t="inlineStr">
        <is>
          <t>M</t>
        </is>
      </c>
      <c r="R80" t="inlineStr">
        <is>
          <t>M</t>
        </is>
      </c>
      <c r="S80" t="inlineStr">
        <is>
          <t>A</t>
        </is>
      </c>
    </row>
    <row r="81">
      <c r="A81" t="n">
        <v>80</v>
      </c>
      <c r="B81" t="inlineStr">
        <is>
          <t>Profundización</t>
        </is>
      </c>
      <c r="C81" t="inlineStr">
        <is>
          <t>Toyota y el sistema que copió medio mundo</t>
        </is>
      </c>
      <c r="D81" t="inlineStr">
        <is>
          <t>Producción ajustada</t>
        </is>
      </c>
      <c r="E81" t="inlineStr">
        <is>
          <t>Divulgación de negocio</t>
        </is>
      </c>
      <c r="F81" t="inlineStr">
        <is>
          <t>La cuerda que cualquier trabajador podía tirar</t>
        </is>
      </c>
      <c r="G81" t="inlineStr">
        <is>
          <t>Pregunta que todos se han hecho → respuesta corta → explicación con datos → lo que nadie cuenta</t>
        </is>
      </c>
      <c r="H81" t="inlineStr">
        <is>
          <t>Motion graphics propios, fotos de archivo con licencia o dominio público, mapas, líneas de tiempo, productos fotografiados por nosotros</t>
        </is>
      </c>
      <c r="I81" t="inlineStr">
        <is>
          <t>M</t>
        </is>
      </c>
      <c r="J81" t="inlineStr">
        <is>
          <t>A</t>
        </is>
      </c>
      <c r="K81" t="inlineStr">
        <is>
          <t>Verificar fechas y cifras; logotipo solo identificativo</t>
        </is>
      </c>
      <c r="L81" t="inlineStr">
        <is>
          <t>A</t>
        </is>
      </c>
      <c r="M81" t="inlineStr">
        <is>
          <t>A</t>
        </is>
      </c>
      <c r="N81" t="inlineStr">
        <is>
          <t>M</t>
        </is>
      </c>
      <c r="O81" t="n">
        <v>200</v>
      </c>
      <c r="P81" t="inlineStr">
        <is>
          <t>Curiosidad</t>
        </is>
      </c>
      <c r="Q81" t="inlineStr">
        <is>
          <t>M</t>
        </is>
      </c>
      <c r="R81" t="inlineStr">
        <is>
          <t>M</t>
        </is>
      </c>
      <c r="S81" t="inlineStr">
        <is>
          <t>A</t>
        </is>
      </c>
    </row>
    <row r="82">
      <c r="A82" t="n">
        <v>81</v>
      </c>
      <c r="B82" t="inlineStr">
        <is>
          <t>Profundización</t>
        </is>
      </c>
      <c r="C82" t="inlineStr">
        <is>
          <t>Las marcas españolas más valiosas (V)</t>
        </is>
      </c>
      <c r="D82" t="inlineStr">
        <is>
          <t>Ranking comentado</t>
        </is>
      </c>
      <c r="E82" t="inlineStr">
        <is>
          <t>Orgullo</t>
        </is>
      </c>
      <c r="F82" t="inlineStr">
        <is>
          <t>Hay una que no esperas en el top</t>
        </is>
      </c>
      <c r="G82" t="inlineStr">
        <is>
          <t>Pregunta → 5-7 casos ordenados de menos a más sorprendente → patrón común</t>
        </is>
      </c>
      <c r="H82" t="inlineStr">
        <is>
          <t>Motion graphics + hemeroteca (citas breves) + fotos de archivo con licencia + gráficos de cifras</t>
        </is>
      </c>
      <c r="I82" t="inlineStr">
        <is>
          <t>M</t>
        </is>
      </c>
      <c r="J82" t="inlineStr">
        <is>
          <t>A</t>
        </is>
      </c>
      <c r="K82" t="inlineStr">
        <is>
          <t>Verificar fechas y cifras; logotipo solo identificativo</t>
        </is>
      </c>
      <c r="L82" t="inlineStr">
        <is>
          <t>A</t>
        </is>
      </c>
      <c r="M82" t="inlineStr">
        <is>
          <t>A</t>
        </is>
      </c>
      <c r="N82" t="inlineStr">
        <is>
          <t>M</t>
        </is>
      </c>
      <c r="O82" t="n">
        <v>180</v>
      </c>
      <c r="P82" t="inlineStr">
        <is>
          <t>Curiosidad</t>
        </is>
      </c>
      <c r="Q82" t="inlineStr">
        <is>
          <t>B</t>
        </is>
      </c>
      <c r="R82" t="inlineStr">
        <is>
          <t>M</t>
        </is>
      </c>
      <c r="S82" t="inlineStr">
        <is>
          <t>A</t>
        </is>
      </c>
    </row>
    <row r="83">
      <c r="A83" t="n">
        <v>82</v>
      </c>
      <c r="B83" t="inlineStr">
        <is>
          <t>Profundización</t>
        </is>
      </c>
      <c r="C83" t="inlineStr">
        <is>
          <t>La guerra del streaming explicada</t>
        </is>
      </c>
      <c r="D83" t="inlineStr">
        <is>
          <t>Netflix, Disney+, Max, etc. (V)</t>
        </is>
      </c>
      <c r="E83" t="inlineStr">
        <is>
          <t>Lo usas</t>
        </is>
      </c>
      <c r="F83" t="inlineStr">
        <is>
          <t>Por qué pagas cada vez más</t>
        </is>
      </c>
      <c r="G83" t="inlineStr">
        <is>
          <t>La rivalidad en una frase → orígenes paralelos → golpes y contragolpes → quién ganó y por qué → qué queda hoy</t>
        </is>
      </c>
      <c r="H83" t="inlineStr">
        <is>
          <t>Motion graphics propios, fotos de archivo con licencia o dominio público, mapas, líneas de tiempo, productos fotografiados por nosotros</t>
        </is>
      </c>
      <c r="I83" t="inlineStr">
        <is>
          <t>M</t>
        </is>
      </c>
      <c r="J83" t="inlineStr">
        <is>
          <t>A</t>
        </is>
      </c>
      <c r="K83" t="inlineStr">
        <is>
          <t>Verificar fechas y cifras; logotipo solo identificativo</t>
        </is>
      </c>
      <c r="L83" t="inlineStr">
        <is>
          <t>A</t>
        </is>
      </c>
      <c r="M83" t="inlineStr">
        <is>
          <t>A</t>
        </is>
      </c>
      <c r="N83" t="inlineStr">
        <is>
          <t>M</t>
        </is>
      </c>
      <c r="O83" t="n">
        <v>200</v>
      </c>
      <c r="P83" t="inlineStr">
        <is>
          <t>Curiosidad</t>
        </is>
      </c>
      <c r="Q83" t="inlineStr">
        <is>
          <t>A</t>
        </is>
      </c>
      <c r="R83" t="inlineStr">
        <is>
          <t>M</t>
        </is>
      </c>
      <c r="S83" t="inlineStr">
        <is>
          <t>A</t>
        </is>
      </c>
    </row>
    <row r="84">
      <c r="A84" t="n">
        <v>83</v>
      </c>
      <c r="B84" t="inlineStr">
        <is>
          <t>Profundización</t>
        </is>
      </c>
      <c r="C84" t="inlineStr">
        <is>
          <t>El Gordo: cómo funciona el negocio de la Lotería de Navidad</t>
        </is>
      </c>
      <c r="D84" t="inlineStr">
        <is>
          <t>Estacional</t>
        </is>
      </c>
      <c r="E84" t="inlineStr">
        <is>
          <t>Pico de diciembre</t>
        </is>
      </c>
      <c r="F84" t="inlineStr">
        <is>
          <t>¿Quién gana realmente con la Lotería?</t>
        </is>
      </c>
      <c r="G84" t="inlineStr">
        <is>
          <t>Pregunta que todos se han hecho → respuesta corta → explicación con datos → lo que nadie cuenta</t>
        </is>
      </c>
      <c r="H84" t="inlineStr">
        <is>
          <t>Motion graphics propios, fotos de archivo con licencia o dominio público, mapas, líneas de tiempo, productos fotografiados por nosotros</t>
        </is>
      </c>
      <c r="I84" t="inlineStr">
        <is>
          <t>M</t>
        </is>
      </c>
      <c r="J84" t="inlineStr">
        <is>
          <t>A</t>
        </is>
      </c>
      <c r="K84" t="inlineStr">
        <is>
          <t>Datos de SELAE</t>
        </is>
      </c>
      <c r="L84" t="inlineStr">
        <is>
          <t>A</t>
        </is>
      </c>
      <c r="M84" t="inlineStr">
        <is>
          <t>A</t>
        </is>
      </c>
      <c r="N84" t="inlineStr">
        <is>
          <t>M</t>
        </is>
      </c>
      <c r="O84" t="n">
        <v>180</v>
      </c>
      <c r="P84" t="inlineStr">
        <is>
          <t>Curiosidad</t>
        </is>
      </c>
      <c r="Q84" t="inlineStr">
        <is>
          <t>M</t>
        </is>
      </c>
      <c r="R84" t="inlineStr">
        <is>
          <t>M</t>
        </is>
      </c>
      <c r="S84" t="inlineStr">
        <is>
          <t>A</t>
        </is>
      </c>
    </row>
    <row r="85">
      <c r="A85" t="n">
        <v>84</v>
      </c>
      <c r="B85" t="inlineStr">
        <is>
          <t>Profundización</t>
        </is>
      </c>
      <c r="C85" t="inlineStr">
        <is>
          <t>La historia de las rebajas en España</t>
        </is>
      </c>
      <c r="D85" t="inlineStr">
        <is>
          <t>Estacional enero/julio</t>
        </is>
      </c>
      <c r="E85" t="inlineStr">
        <is>
          <t>Comercio</t>
        </is>
      </c>
      <c r="F85" t="inlineStr">
        <is>
          <t>Las rebajas tenían fechas fijadas por ley</t>
        </is>
      </c>
      <c r="G85" t="inlineStr">
        <is>
          <t>Pregunta que todos se han hecho → respuesta corta → explicación con datos → lo que nadie cuenta</t>
        </is>
      </c>
      <c r="H85" t="inlineStr">
        <is>
          <t>Motion graphics propios, fotos de archivo con licencia o dominio público, mapas, líneas de tiempo, productos fotografiados por nosotros</t>
        </is>
      </c>
      <c r="I85" t="inlineStr">
        <is>
          <t>M</t>
        </is>
      </c>
      <c r="J85" t="inlineStr">
        <is>
          <t>A</t>
        </is>
      </c>
      <c r="K85" t="inlineStr">
        <is>
          <t>Normativa histórica</t>
        </is>
      </c>
      <c r="L85" t="inlineStr">
        <is>
          <t>A</t>
        </is>
      </c>
      <c r="M85" t="inlineStr">
        <is>
          <t>A</t>
        </is>
      </c>
      <c r="N85" t="inlineStr">
        <is>
          <t>M</t>
        </is>
      </c>
      <c r="O85" t="n">
        <v>150</v>
      </c>
      <c r="P85" t="inlineStr">
        <is>
          <t>Curiosidad</t>
        </is>
      </c>
      <c r="Q85" t="inlineStr">
        <is>
          <t>B</t>
        </is>
      </c>
      <c r="R85" t="inlineStr">
        <is>
          <t>M</t>
        </is>
      </c>
      <c r="S85" t="inlineStr">
        <is>
          <t>A</t>
        </is>
      </c>
    </row>
    <row r="86">
      <c r="A86" t="n">
        <v>85</v>
      </c>
      <c r="B86" t="inlineStr">
        <is>
          <t>Profundización</t>
        </is>
      </c>
      <c r="C86" t="inlineStr">
        <is>
          <t>Del 600 al coche eléctrico: la industria del automóvil en España</t>
        </is>
      </c>
      <c r="D86" t="inlineStr">
        <is>
          <t>Documental</t>
        </is>
      </c>
      <c r="E86" t="inlineStr">
        <is>
          <t>Industria</t>
        </is>
      </c>
      <c r="F86" t="inlineStr">
        <is>
          <t>España fabrica más coches de los que imaginas</t>
        </is>
      </c>
      <c r="G86" t="inlineStr">
        <is>
          <t>Gancho con el objeto cotidiano → origen → el momento de crisis → la decisión que lo cambió todo → la marca hoy → lección</t>
        </is>
      </c>
      <c r="H86" t="inlineStr">
        <is>
          <t>Motion graphics propios, fotos de archivo con licencia o dominio público, mapas, líneas de tiempo, productos fotografiados por nosotros</t>
        </is>
      </c>
      <c r="I86" t="inlineStr">
        <is>
          <t>A</t>
        </is>
      </c>
      <c r="J86" t="inlineStr">
        <is>
          <t>A</t>
        </is>
      </c>
      <c r="K86" t="inlineStr">
        <is>
          <t>Verificar fechas y cifras; logotipo solo identificativo</t>
        </is>
      </c>
      <c r="L86" t="inlineStr">
        <is>
          <t>A</t>
        </is>
      </c>
      <c r="M86" t="inlineStr">
        <is>
          <t>A</t>
        </is>
      </c>
      <c r="N86" t="inlineStr">
        <is>
          <t>M</t>
        </is>
      </c>
      <c r="O86" t="n">
        <v>300</v>
      </c>
      <c r="P86" t="inlineStr">
        <is>
          <t>Curiosidad</t>
        </is>
      </c>
      <c r="Q86" t="inlineStr">
        <is>
          <t>B</t>
        </is>
      </c>
      <c r="R86" t="inlineStr">
        <is>
          <t>M</t>
        </is>
      </c>
      <c r="S86" t="inlineStr">
        <is>
          <t>A</t>
        </is>
      </c>
    </row>
    <row r="87">
      <c r="A87" t="n">
        <v>86</v>
      </c>
      <c r="B87" t="inlineStr">
        <is>
          <t>Profundización</t>
        </is>
      </c>
      <c r="C87" t="inlineStr">
        <is>
          <t>Por qué todas las marcas están cambiando sus logotipos a lo simple</t>
        </is>
      </c>
      <c r="D87" t="inlineStr">
        <is>
          <t>Tendencia de diseño</t>
        </is>
      </c>
      <c r="E87" t="inlineStr">
        <is>
          <t>Diseño</t>
        </is>
      </c>
      <c r="F87" t="inlineStr">
        <is>
          <t>Mira estos logotipos de antes y de ahora</t>
        </is>
      </c>
      <c r="G87" t="inlineStr">
        <is>
          <t>Pregunta que todos se han hecho → respuesta corta → explicación con datos → lo que nadie cuenta</t>
        </is>
      </c>
      <c r="H87" t="inlineStr">
        <is>
          <t>Motion graphics propios, fotos de archivo con licencia o dominio público, mapas, líneas de tiempo, productos fotografiados por nosotros</t>
        </is>
      </c>
      <c r="I87" t="inlineStr">
        <is>
          <t>M</t>
        </is>
      </c>
      <c r="J87" t="inlineStr">
        <is>
          <t>A</t>
        </is>
      </c>
      <c r="K87" t="inlineStr">
        <is>
          <t>Verificar fechas y cifras; logotipo solo identificativo</t>
        </is>
      </c>
      <c r="L87" t="inlineStr">
        <is>
          <t>A</t>
        </is>
      </c>
      <c r="M87" t="inlineStr">
        <is>
          <t>A</t>
        </is>
      </c>
      <c r="N87" t="inlineStr">
        <is>
          <t>M</t>
        </is>
      </c>
      <c r="O87" t="n">
        <v>150</v>
      </c>
      <c r="P87" t="inlineStr">
        <is>
          <t>Curiosidad</t>
        </is>
      </c>
      <c r="Q87" t="inlineStr">
        <is>
          <t>M</t>
        </is>
      </c>
      <c r="R87" t="inlineStr">
        <is>
          <t>M</t>
        </is>
      </c>
      <c r="S87" t="inlineStr">
        <is>
          <t>A</t>
        </is>
      </c>
    </row>
    <row r="88">
      <c r="A88" t="n">
        <v>87</v>
      </c>
      <c r="B88" t="inlineStr">
        <is>
          <t>Profundización</t>
        </is>
      </c>
      <c r="C88" t="inlineStr">
        <is>
          <t>El imperio de Ferrero</t>
        </is>
      </c>
      <c r="D88" t="inlineStr">
        <is>
          <t>Nutella, Kinder, Ferrero Rocher</t>
        </is>
      </c>
      <c r="E88" t="inlineStr">
        <is>
          <t>Marcas queridas</t>
        </is>
      </c>
      <c r="F88" t="inlineStr">
        <is>
          <t>La familia más discreta del chocolate</t>
        </is>
      </c>
      <c r="G88" t="inlineStr">
        <is>
          <t>Gancho con el objeto cotidiano → origen → el momento de crisis → la decisión que lo cambió todo → la marca hoy → lección</t>
        </is>
      </c>
      <c r="H88" t="inlineStr">
        <is>
          <t>Motion graphics propios, fotos de archivo con licencia o dominio público, mapas, líneas de tiempo, productos fotografiados por nosotros</t>
        </is>
      </c>
      <c r="I88" t="inlineStr">
        <is>
          <t>M</t>
        </is>
      </c>
      <c r="J88" t="inlineStr">
        <is>
          <t>A</t>
        </is>
      </c>
      <c r="K88" t="inlineStr">
        <is>
          <t>Verificar fechas y cifras; logotipo solo identificativo</t>
        </is>
      </c>
      <c r="L88" t="inlineStr">
        <is>
          <t>A</t>
        </is>
      </c>
      <c r="M88" t="inlineStr">
        <is>
          <t>A</t>
        </is>
      </c>
      <c r="N88" t="inlineStr">
        <is>
          <t>M</t>
        </is>
      </c>
      <c r="O88" t="n">
        <v>200</v>
      </c>
      <c r="P88" t="inlineStr">
        <is>
          <t>Curiosidad</t>
        </is>
      </c>
      <c r="Q88" t="inlineStr">
        <is>
          <t>M</t>
        </is>
      </c>
      <c r="R88" t="inlineStr">
        <is>
          <t>M</t>
        </is>
      </c>
      <c r="S88" t="inlineStr">
        <is>
          <t>A</t>
        </is>
      </c>
    </row>
    <row r="89">
      <c r="A89" t="n">
        <v>88</v>
      </c>
      <c r="B89" t="inlineStr">
        <is>
          <t>Profundización</t>
        </is>
      </c>
      <c r="C89" t="inlineStr">
        <is>
          <t>Cómo se hace un anuncio de Navidad que te hace llorar</t>
        </is>
      </c>
      <c r="D89" t="inlineStr">
        <is>
          <t>Publicidad emocional (Lotería, Campofrío…)</t>
        </is>
      </c>
      <c r="E89" t="inlineStr">
        <is>
          <t>Estacional</t>
        </is>
      </c>
      <c r="F89" t="inlineStr">
        <is>
          <t>Hay una fórmula para hacerte llorar</t>
        </is>
      </c>
      <c r="G89" t="inlineStr">
        <is>
          <t>Pregunta que todos se han hecho → respuesta corta → explicación con datos → lo que nadie cuenta</t>
        </is>
      </c>
      <c r="H89" t="inlineStr">
        <is>
          <t>Motion graphics propios, fotos de archivo con licencia o dominio público, mapas, líneas de tiempo, productos fotografiados por nosotros</t>
        </is>
      </c>
      <c r="I89" t="inlineStr">
        <is>
          <t>M</t>
        </is>
      </c>
      <c r="J89" t="inlineStr">
        <is>
          <t>A</t>
        </is>
      </c>
      <c r="K89" t="inlineStr">
        <is>
          <t>No usar fragmentos largos de anuncios</t>
        </is>
      </c>
      <c r="L89" t="inlineStr">
        <is>
          <t>A</t>
        </is>
      </c>
      <c r="M89" t="inlineStr">
        <is>
          <t>A</t>
        </is>
      </c>
      <c r="N89" t="inlineStr">
        <is>
          <t>M</t>
        </is>
      </c>
      <c r="O89" t="n">
        <v>150</v>
      </c>
      <c r="P89" t="inlineStr">
        <is>
          <t>Curiosidad</t>
        </is>
      </c>
      <c r="Q89" t="inlineStr">
        <is>
          <t>B</t>
        </is>
      </c>
      <c r="R89" t="inlineStr">
        <is>
          <t>M</t>
        </is>
      </c>
      <c r="S89" t="inlineStr">
        <is>
          <t>A</t>
        </is>
      </c>
    </row>
    <row r="90">
      <c r="A90" t="n">
        <v>89</v>
      </c>
      <c r="B90" t="inlineStr">
        <is>
          <t>Profundización</t>
        </is>
      </c>
      <c r="C90" t="inlineStr">
        <is>
          <t>La caída de Dia: del supermercado de barrio al rescate (V)</t>
        </is>
      </c>
      <c r="D90" t="inlineStr">
        <is>
          <t>Crisis financiera</t>
        </is>
      </c>
      <c r="E90" t="inlineStr">
        <is>
          <t>Actualidad económica</t>
        </is>
      </c>
      <c r="F90" t="inlineStr">
        <is>
          <t>Un supermercado que casi desaparece</t>
        </is>
      </c>
      <c r="G90" t="inlineStr">
        <is>
          <t>La cima → las grietas → la decisión fatal → el derrumbe → qué podría haber salvado la empresa</t>
        </is>
      </c>
      <c r="H90" t="inlineStr">
        <is>
          <t>Motion graphics + hemeroteca (citas breves) + fotos de archivo con licencia + gráficos de cifras</t>
        </is>
      </c>
      <c r="I90" t="inlineStr">
        <is>
          <t>M</t>
        </is>
      </c>
      <c r="J90" t="inlineStr">
        <is>
          <t>A</t>
        </is>
      </c>
      <c r="K90" t="inlineStr">
        <is>
          <t>Datos actuales</t>
        </is>
      </c>
      <c r="L90" t="inlineStr">
        <is>
          <t>A</t>
        </is>
      </c>
      <c r="M90" t="inlineStr">
        <is>
          <t>A</t>
        </is>
      </c>
      <c r="N90" t="inlineStr">
        <is>
          <t>M</t>
        </is>
      </c>
      <c r="O90" t="n">
        <v>200</v>
      </c>
      <c r="P90" t="inlineStr">
        <is>
          <t>Curiosidad</t>
        </is>
      </c>
      <c r="Q90" t="inlineStr">
        <is>
          <t>B</t>
        </is>
      </c>
      <c r="R90" t="inlineStr">
        <is>
          <t>M</t>
        </is>
      </c>
      <c r="S90" t="inlineStr">
        <is>
          <t>A</t>
        </is>
      </c>
    </row>
    <row r="91">
      <c r="A91" t="n">
        <v>90</v>
      </c>
      <c r="B91" t="inlineStr">
        <is>
          <t>Profundización</t>
        </is>
      </c>
      <c r="C91" t="inlineStr">
        <is>
          <t>Las marcas que sobrevivieron a una guerra</t>
        </is>
      </c>
      <c r="D91" t="inlineStr">
        <is>
          <t>Historia y empresas</t>
        </is>
      </c>
      <c r="E91" t="inlineStr">
        <is>
          <t>Narrativa potente</t>
        </is>
      </c>
      <c r="F91" t="inlineStr">
        <is>
          <t>Fabricaban caramelos mientras caían bombas</t>
        </is>
      </c>
      <c r="G91" t="inlineStr">
        <is>
          <t>Pregunta → 5-7 casos ordenados de menos a más sorprendente → patrón común</t>
        </is>
      </c>
      <c r="H91" t="inlineStr">
        <is>
          <t>Motion graphics propios, fotos de archivo con licencia o dominio público, mapas, líneas de tiempo, productos fotografiados por nosotros</t>
        </is>
      </c>
      <c r="I91" t="inlineStr">
        <is>
          <t>A</t>
        </is>
      </c>
      <c r="J91" t="inlineStr">
        <is>
          <t>A</t>
        </is>
      </c>
      <c r="K91" t="inlineStr">
        <is>
          <t>Verificar fechas y cifras; logotipo solo identificativo</t>
        </is>
      </c>
      <c r="L91" t="inlineStr">
        <is>
          <t>A</t>
        </is>
      </c>
      <c r="M91" t="inlineStr">
        <is>
          <t>A</t>
        </is>
      </c>
      <c r="N91" t="inlineStr">
        <is>
          <t>M</t>
        </is>
      </c>
      <c r="O91" t="n">
        <v>250</v>
      </c>
      <c r="P91" t="inlineStr">
        <is>
          <t>Curiosidad</t>
        </is>
      </c>
      <c r="Q91" t="inlineStr">
        <is>
          <t>B</t>
        </is>
      </c>
      <c r="R91" t="inlineStr">
        <is>
          <t>M</t>
        </is>
      </c>
      <c r="S91" t="inlineStr">
        <is>
          <t>A</t>
        </is>
      </c>
    </row>
    <row r="92">
      <c r="A92" t="n">
        <v>91</v>
      </c>
      <c r="B92" t="inlineStr">
        <is>
          <t>Potencial comercial o patrocinio</t>
        </is>
      </c>
      <c r="C92" t="inlineStr">
        <is>
          <t>Las mejores apps para ahorrar en el supermercado (V)</t>
        </is>
      </c>
      <c r="D92" t="inlineStr">
        <is>
          <t>Utilidad patrocinable</t>
        </is>
      </c>
      <c r="E92" t="inlineStr">
        <is>
          <t>Ahorro</t>
        </is>
      </c>
      <c r="F92" t="inlineStr">
        <is>
          <t>Ahorré X € en un mes (cifra real del test)</t>
        </is>
      </c>
      <c r="G92" t="inlineStr">
        <is>
          <t>Pregunta → 5-7 casos ordenados de menos a más sorprendente → patrón común</t>
        </is>
      </c>
      <c r="H92" t="inlineStr">
        <is>
          <t>Motion graphics propios, fotos de archivo con licencia o dominio público, mapas, líneas de tiempo, productos fotografiados por nosotros</t>
        </is>
      </c>
      <c r="I92" t="inlineStr">
        <is>
          <t>M</t>
        </is>
      </c>
      <c r="J92" t="inlineStr">
        <is>
          <t>A</t>
        </is>
      </c>
      <c r="K92" t="inlineStr">
        <is>
          <t>Transparencia de patrocinio</t>
        </is>
      </c>
      <c r="L92" t="inlineStr">
        <is>
          <t>A</t>
        </is>
      </c>
      <c r="M92" t="inlineStr">
        <is>
          <t>A</t>
        </is>
      </c>
      <c r="N92" t="inlineStr">
        <is>
          <t>M</t>
        </is>
      </c>
      <c r="O92" t="n">
        <v>180</v>
      </c>
      <c r="P92" t="inlineStr">
        <is>
          <t>Problema</t>
        </is>
      </c>
      <c r="Q92" t="inlineStr">
        <is>
          <t>M</t>
        </is>
      </c>
      <c r="R92" t="inlineStr">
        <is>
          <t>A</t>
        </is>
      </c>
      <c r="S92" t="inlineStr">
        <is>
          <t>A</t>
        </is>
      </c>
    </row>
    <row r="93">
      <c r="A93" t="n">
        <v>92</v>
      </c>
      <c r="B93" t="inlineStr">
        <is>
          <t>Potencial comercial o patrocinio</t>
        </is>
      </c>
      <c r="C93" t="inlineStr">
        <is>
          <t>Los 10 libros sobre marcas que deberías leer</t>
        </is>
      </c>
      <c r="D93" t="inlineStr">
        <is>
          <t>Afiliación Amazon</t>
        </is>
      </c>
      <c r="E93" t="inlineStr">
        <is>
          <t>Recomendación</t>
        </is>
      </c>
      <c r="F93" t="inlineStr">
        <is>
          <t>El libro que explica por qué compras lo que compras</t>
        </is>
      </c>
      <c r="G93" t="inlineStr">
        <is>
          <t>Pregunta → 5-7 casos ordenados de menos a más sorprendente → patrón común</t>
        </is>
      </c>
      <c r="H93" t="inlineStr">
        <is>
          <t>Motion graphics propios, fotos de archivo con licencia o dominio público, mapas, líneas de tiempo, productos fotografiados por nosotros</t>
        </is>
      </c>
      <c r="I93" t="inlineStr">
        <is>
          <t>M</t>
        </is>
      </c>
      <c r="J93" t="inlineStr">
        <is>
          <t>A</t>
        </is>
      </c>
      <c r="K93" t="inlineStr">
        <is>
          <t>Verificar fechas y cifras; logotipo solo identificativo</t>
        </is>
      </c>
      <c r="L93" t="inlineStr">
        <is>
          <t>A</t>
        </is>
      </c>
      <c r="M93" t="inlineStr">
        <is>
          <t>A</t>
        </is>
      </c>
      <c r="N93" t="inlineStr">
        <is>
          <t>M</t>
        </is>
      </c>
      <c r="O93" t="n">
        <v>80</v>
      </c>
      <c r="P93" t="inlineStr">
        <is>
          <t>Curiosidad</t>
        </is>
      </c>
      <c r="Q93" t="inlineStr">
        <is>
          <t>B</t>
        </is>
      </c>
      <c r="R93" t="inlineStr">
        <is>
          <t>A</t>
        </is>
      </c>
      <c r="S93" t="inlineStr">
        <is>
          <t>A</t>
        </is>
      </c>
    </row>
    <row r="94">
      <c r="A94" t="n">
        <v>93</v>
      </c>
      <c r="B94" t="inlineStr">
        <is>
          <t>Potencial comercial o patrocinio</t>
        </is>
      </c>
      <c r="C94" t="inlineStr">
        <is>
          <t>Merchandising del canal: la historia de nuestro logotipo</t>
        </is>
      </c>
      <c r="D94" t="inlineStr">
        <is>
          <t>Producto propio (año 2)</t>
        </is>
      </c>
      <c r="E94" t="inlineStr">
        <is>
          <t>Comunidad</t>
        </is>
      </c>
      <c r="F94" t="inlineStr">
        <is>
          <t>Hicimos lo que criticamos en todos los vídeos</t>
        </is>
      </c>
      <c r="G94" t="inlineStr">
        <is>
          <t>Gancho con el objeto cotidiano → origen → el momento de crisis → la decisión que lo cambió todo → la marca hoy → lección</t>
        </is>
      </c>
      <c r="H94" t="inlineStr">
        <is>
          <t>Motion graphics propios, fotos de archivo con licencia o dominio público, mapas, líneas de tiempo, productos fotografiados por nosotros</t>
        </is>
      </c>
      <c r="I94" t="inlineStr">
        <is>
          <t>M</t>
        </is>
      </c>
      <c r="J94" t="inlineStr">
        <is>
          <t>A</t>
        </is>
      </c>
      <c r="K94" t="inlineStr">
        <is>
          <t>Verificar fechas y cifras; logotipo solo identificativo</t>
        </is>
      </c>
      <c r="L94" t="inlineStr">
        <is>
          <t>B</t>
        </is>
      </c>
      <c r="M94" t="inlineStr">
        <is>
          <t>A</t>
        </is>
      </c>
      <c r="N94" t="inlineStr">
        <is>
          <t>M</t>
        </is>
      </c>
      <c r="O94" t="n">
        <v>60</v>
      </c>
      <c r="P94" t="inlineStr">
        <is>
          <t>Curiosidad</t>
        </is>
      </c>
      <c r="Q94" t="inlineStr">
        <is>
          <t>B</t>
        </is>
      </c>
      <c r="R94" t="inlineStr">
        <is>
          <t>A</t>
        </is>
      </c>
      <c r="S94" t="inlineStr">
        <is>
          <t>A</t>
        </is>
      </c>
    </row>
    <row r="95">
      <c r="A95" t="n">
        <v>94</v>
      </c>
      <c r="B95" t="inlineStr">
        <is>
          <t>Potencial comercial o patrocinio</t>
        </is>
      </c>
      <c r="C95" t="inlineStr">
        <is>
          <t>Cómo invertir en las marcas que usas (explicación, no recomendación) (V)</t>
        </is>
      </c>
      <c r="D95" t="inlineStr">
        <is>
          <t>Patrocinio de bróker con cumplimiento normativo</t>
        </is>
      </c>
      <c r="E95" t="inlineStr">
        <is>
          <t>Interés por la bolsa</t>
        </is>
      </c>
      <c r="F95" t="inlineStr">
        <is>
          <t>Puedes ser dueño de un trozo de tu marca favorita</t>
        </is>
      </c>
      <c r="G95" t="inlineStr">
        <is>
          <t>Pregunta que todos se han hecho → respuesta corta → explicación con datos → lo que nadie cuenta</t>
        </is>
      </c>
      <c r="H95" t="inlineStr">
        <is>
          <t>Motion graphics propios, fotos de archivo con licencia o dominio público, mapas, líneas de tiempo, productos fotografiados por nosotros</t>
        </is>
      </c>
      <c r="I95" t="inlineStr">
        <is>
          <t>M</t>
        </is>
      </c>
      <c r="J95" t="inlineStr">
        <is>
          <t>A</t>
        </is>
      </c>
      <c r="K95" t="inlineStr">
        <is>
          <t>CNMV: sin recomendaciones; avisos de riesgo</t>
        </is>
      </c>
      <c r="L95" t="inlineStr">
        <is>
          <t>A</t>
        </is>
      </c>
      <c r="M95" t="inlineStr">
        <is>
          <t>A</t>
        </is>
      </c>
      <c r="N95" t="inlineStr">
        <is>
          <t>M</t>
        </is>
      </c>
      <c r="O95" t="n">
        <v>180</v>
      </c>
      <c r="P95" t="inlineStr">
        <is>
          <t>Curiosidad</t>
        </is>
      </c>
      <c r="Q95" t="inlineStr">
        <is>
          <t>M</t>
        </is>
      </c>
      <c r="R95" t="inlineStr">
        <is>
          <t>A</t>
        </is>
      </c>
      <c r="S95" t="inlineStr">
        <is>
          <t>A</t>
        </is>
      </c>
    </row>
    <row r="96">
      <c r="A96" t="n">
        <v>95</v>
      </c>
      <c r="B96" t="inlineStr">
        <is>
          <t>Potencial comercial o patrocinio</t>
        </is>
      </c>
      <c r="C96" t="inlineStr">
        <is>
          <t>Tarjetas de fidelización: ¿te ahorran dinero o te espían? (V)</t>
        </is>
      </c>
      <c r="D96" t="inlineStr">
        <is>
          <t>Datos personales y ofertas</t>
        </is>
      </c>
      <c r="E96" t="inlineStr">
        <is>
          <t>Ahorro y privacidad</t>
        </is>
      </c>
      <c r="F96" t="inlineStr">
        <is>
          <t>Esa tarjeta sabe más de ti que tu familia</t>
        </is>
      </c>
      <c r="G96" t="inlineStr">
        <is>
          <t>Pregunta que todos se han hecho → respuesta corta → explicación con datos → lo que nadie cuenta</t>
        </is>
      </c>
      <c r="H96" t="inlineStr">
        <is>
          <t>Motion graphics propios, fotos de archivo con licencia o dominio público, mapas, líneas de tiempo, productos fotografiados por nosotros</t>
        </is>
      </c>
      <c r="I96" t="inlineStr">
        <is>
          <t>M</t>
        </is>
      </c>
      <c r="J96" t="inlineStr">
        <is>
          <t>A</t>
        </is>
      </c>
      <c r="K96" t="inlineStr">
        <is>
          <t>RGPD</t>
        </is>
      </c>
      <c r="L96" t="inlineStr">
        <is>
          <t>A</t>
        </is>
      </c>
      <c r="M96" t="inlineStr">
        <is>
          <t>A</t>
        </is>
      </c>
      <c r="N96" t="inlineStr">
        <is>
          <t>M</t>
        </is>
      </c>
      <c r="O96" t="n">
        <v>180</v>
      </c>
      <c r="P96" t="inlineStr">
        <is>
          <t>Curiosidad</t>
        </is>
      </c>
      <c r="Q96" t="inlineStr">
        <is>
          <t>M</t>
        </is>
      </c>
      <c r="R96" t="inlineStr">
        <is>
          <t>A</t>
        </is>
      </c>
      <c r="S96" t="inlineStr">
        <is>
          <t>A</t>
        </is>
      </c>
    </row>
    <row r="97">
      <c r="A97" t="n">
        <v>96</v>
      </c>
      <c r="B97" t="inlineStr">
        <is>
          <t>Potencial comercial o patrocinio</t>
        </is>
      </c>
      <c r="C97" t="inlineStr">
        <is>
          <t>Juegos de mesa sobre negocios: los probamos</t>
        </is>
      </c>
      <c r="D97" t="inlineStr">
        <is>
          <t>Afiliación</t>
        </is>
      </c>
      <c r="E97" t="inlineStr">
        <is>
          <t>Ocio</t>
        </is>
      </c>
      <c r="F97" t="inlineStr">
        <is>
          <t>El Monopoly no es el mejor</t>
        </is>
      </c>
      <c r="G97" t="inlineStr">
        <is>
          <t>Pregunta → 5-7 casos ordenados de menos a más sorprendente → patrón común</t>
        </is>
      </c>
      <c r="H97" t="inlineStr">
        <is>
          <t>Motion graphics propios, fotos de archivo con licencia o dominio público, mapas, líneas de tiempo, productos fotografiados por nosotros</t>
        </is>
      </c>
      <c r="I97" t="inlineStr">
        <is>
          <t>M</t>
        </is>
      </c>
      <c r="J97" t="inlineStr">
        <is>
          <t>A</t>
        </is>
      </c>
      <c r="K97" t="inlineStr">
        <is>
          <t>Verificar fechas y cifras; logotipo solo identificativo</t>
        </is>
      </c>
      <c r="L97" t="inlineStr">
        <is>
          <t>A</t>
        </is>
      </c>
      <c r="M97" t="inlineStr">
        <is>
          <t>A</t>
        </is>
      </c>
      <c r="N97" t="inlineStr">
        <is>
          <t>M</t>
        </is>
      </c>
      <c r="O97" t="n">
        <v>120</v>
      </c>
      <c r="P97" t="inlineStr">
        <is>
          <t>Curiosidad</t>
        </is>
      </c>
      <c r="Q97" t="inlineStr">
        <is>
          <t>B</t>
        </is>
      </c>
      <c r="R97" t="inlineStr">
        <is>
          <t>A</t>
        </is>
      </c>
      <c r="S97" t="inlineStr">
        <is>
          <t>A</t>
        </is>
      </c>
    </row>
    <row r="98">
      <c r="A98" t="n">
        <v>97</v>
      </c>
      <c r="B98" t="inlineStr">
        <is>
          <t>Potencial comercial o patrocinio</t>
        </is>
      </c>
      <c r="C98" t="inlineStr">
        <is>
          <t>El curso de marketing que te enseña lo que hacen estas marcas (patrocinio)</t>
        </is>
      </c>
      <c r="D98" t="inlineStr">
        <is>
          <t>Patrocinio de plataforma educativa</t>
        </is>
      </c>
      <c r="E98" t="inlineStr">
        <is>
          <t>Aprendizaje</t>
        </is>
      </c>
      <c r="F98" t="inlineStr">
        <is>
          <t>Lo que hacen las grandes marcas, aplicado a tu idea</t>
        </is>
      </c>
      <c r="G98" t="inlineStr">
        <is>
          <t>Pregunta que todos se han hecho → respuesta corta → explicación con datos → lo que nadie cuenta</t>
        </is>
      </c>
      <c r="H98" t="inlineStr">
        <is>
          <t>Motion graphics propios, fotos de archivo con licencia o dominio público, mapas, líneas de tiempo, productos fotografiados por nosotros</t>
        </is>
      </c>
      <c r="I98" t="inlineStr">
        <is>
          <t>M</t>
        </is>
      </c>
      <c r="J98" t="inlineStr">
        <is>
          <t>A</t>
        </is>
      </c>
      <c r="K98" t="inlineStr">
        <is>
          <t>Verificar fechas y cifras; logotipo solo identificativo</t>
        </is>
      </c>
      <c r="L98" t="inlineStr">
        <is>
          <t>A</t>
        </is>
      </c>
      <c r="M98" t="inlineStr">
        <is>
          <t>A</t>
        </is>
      </c>
      <c r="N98" t="inlineStr">
        <is>
          <t>M</t>
        </is>
      </c>
      <c r="O98" t="n">
        <v>180</v>
      </c>
      <c r="P98" t="inlineStr">
        <is>
          <t>Curiosidad</t>
        </is>
      </c>
      <c r="Q98" t="inlineStr">
        <is>
          <t>M</t>
        </is>
      </c>
      <c r="R98" t="inlineStr">
        <is>
          <t>A</t>
        </is>
      </c>
      <c r="S98" t="inlineStr">
        <is>
          <t>A</t>
        </is>
      </c>
    </row>
    <row r="99">
      <c r="A99" t="n">
        <v>98</v>
      </c>
      <c r="B99" t="inlineStr">
        <is>
          <t>Potencial comercial o patrocinio</t>
        </is>
      </c>
      <c r="C99" t="inlineStr">
        <is>
          <t>Las mejores marcas de café de supermercado: cata a ciegas</t>
        </is>
      </c>
      <c r="D99" t="inlineStr">
        <is>
          <t>Afiliación/patrocinio</t>
        </is>
      </c>
      <c r="E99" t="inlineStr">
        <is>
          <t>Consumo</t>
        </is>
      </c>
      <c r="F99" t="inlineStr">
        <is>
          <t>El más barato quedó segundo</t>
        </is>
      </c>
      <c r="G99" t="inlineStr">
        <is>
          <t>Pregunta → 5-7 casos ordenados de menos a más sorprendente → patrón común</t>
        </is>
      </c>
      <c r="H99" t="inlineStr">
        <is>
          <t>Motion graphics propios, fotos de archivo con licencia o dominio público, mapas, líneas de tiempo, productos fotografiados por nosotros</t>
        </is>
      </c>
      <c r="I99" t="inlineStr">
        <is>
          <t>M</t>
        </is>
      </c>
      <c r="J99" t="inlineStr">
        <is>
          <t>A</t>
        </is>
      </c>
      <c r="K99" t="inlineStr">
        <is>
          <t>Opinión, no difamación</t>
        </is>
      </c>
      <c r="L99" t="inlineStr">
        <is>
          <t>A</t>
        </is>
      </c>
      <c r="M99" t="inlineStr">
        <is>
          <t>A</t>
        </is>
      </c>
      <c r="N99" t="inlineStr">
        <is>
          <t>B</t>
        </is>
      </c>
      <c r="O99" t="n">
        <v>120</v>
      </c>
      <c r="P99" t="inlineStr">
        <is>
          <t>Curiosidad</t>
        </is>
      </c>
      <c r="Q99" t="inlineStr">
        <is>
          <t>M</t>
        </is>
      </c>
      <c r="R99" t="inlineStr">
        <is>
          <t>A</t>
        </is>
      </c>
      <c r="S99" t="inlineStr">
        <is>
          <t>A</t>
        </is>
      </c>
    </row>
    <row r="100">
      <c r="A100" t="n">
        <v>99</v>
      </c>
      <c r="B100" t="inlineStr">
        <is>
          <t>Potencial comercial o patrocinio</t>
        </is>
      </c>
      <c r="C100" t="inlineStr">
        <is>
          <t>Cómo crear una marca desde cero (lo que aprendimos de 50 historias)</t>
        </is>
      </c>
      <c r="D100" t="inlineStr">
        <is>
          <t>Recopilatorio + producto (guía en PDF)</t>
        </is>
      </c>
      <c r="E100" t="inlineStr">
        <is>
          <t>Emprendedores</t>
        </is>
      </c>
      <c r="F100" t="inlineStr">
        <is>
          <t>50 historias, 7 patrones</t>
        </is>
      </c>
      <c r="G100" t="inlineStr">
        <is>
          <t>Pregunta → 5-7 casos ordenados de menos a más sorprendente → patrón común</t>
        </is>
      </c>
      <c r="H100" t="inlineStr">
        <is>
          <t>Motion graphics propios, fotos de archivo con licencia o dominio público, mapas, líneas de tiempo, productos fotografiados por nosotros</t>
        </is>
      </c>
      <c r="I100" t="inlineStr">
        <is>
          <t>M</t>
        </is>
      </c>
      <c r="J100" t="inlineStr">
        <is>
          <t>A</t>
        </is>
      </c>
      <c r="K100" t="inlineStr">
        <is>
          <t>Verificar fechas y cifras; logotipo solo identificativo</t>
        </is>
      </c>
      <c r="L100" t="inlineStr">
        <is>
          <t>A</t>
        </is>
      </c>
      <c r="M100" t="inlineStr">
        <is>
          <t>A</t>
        </is>
      </c>
      <c r="N100" t="inlineStr">
        <is>
          <t>M</t>
        </is>
      </c>
      <c r="O100" t="n">
        <v>150</v>
      </c>
      <c r="P100" t="inlineStr">
        <is>
          <t>Curiosidad</t>
        </is>
      </c>
      <c r="Q100" t="inlineStr">
        <is>
          <t>M</t>
        </is>
      </c>
      <c r="R100" t="inlineStr">
        <is>
          <t>A</t>
        </is>
      </c>
      <c r="S100" t="inlineStr">
        <is>
          <t>A</t>
        </is>
      </c>
    </row>
    <row r="101">
      <c r="A101" t="n">
        <v>100</v>
      </c>
      <c r="B101" t="inlineStr">
        <is>
          <t>Potencial comercial o patrocinio</t>
        </is>
      </c>
      <c r="C101" t="inlineStr">
        <is>
          <t>Edición especial patrocinada: la historia de una marca española que quiera contarse</t>
        </is>
      </c>
      <c r="D101" t="inlineStr">
        <is>
          <t>Contenido de marca (branded) etiquetado</t>
        </is>
      </c>
      <c r="E101" t="inlineStr">
        <is>
          <t>Contenido patrocinado transparente</t>
        </is>
      </c>
      <c r="F101" t="inlineStr">
        <is>
          <t>Esta marca nos abrió sus archivos</t>
        </is>
      </c>
      <c r="G101" t="inlineStr">
        <is>
          <t>Gancho con el objeto cotidiano → origen → el momento de crisis → la decisión que lo cambió todo → la marca hoy → lección</t>
        </is>
      </c>
      <c r="H101" t="inlineStr">
        <is>
          <t>Motion graphics propios, fotos de archivo con licencia o dominio público, mapas, líneas de tiempo, productos fotografiados por nosotros</t>
        </is>
      </c>
      <c r="I101" t="inlineStr">
        <is>
          <t>M</t>
        </is>
      </c>
      <c r="J101" t="inlineStr">
        <is>
          <t>A</t>
        </is>
      </c>
      <c r="K101" t="inlineStr">
        <is>
          <t>Etiquetar como contenido patrocinado; independencia editorial</t>
        </is>
      </c>
      <c r="L101" t="inlineStr">
        <is>
          <t>M</t>
        </is>
      </c>
      <c r="M101" t="inlineStr">
        <is>
          <t>A</t>
        </is>
      </c>
      <c r="N101" t="inlineStr">
        <is>
          <t>M</t>
        </is>
      </c>
      <c r="O101" t="n">
        <v>180</v>
      </c>
      <c r="P101" t="inlineStr">
        <is>
          <t>Curiosidad</t>
        </is>
      </c>
      <c r="Q101" t="inlineStr">
        <is>
          <t>B</t>
        </is>
      </c>
      <c r="R101" t="inlineStr">
        <is>
          <t>A</t>
        </is>
      </c>
      <c r="S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2026-10-26T11:44:13Z</dcterms:created>
  <dcterms:modified xmlns:dcterms="http://purl.org/dc/terms/" xmlns:xsi="http://www.w3.org/2001/XMLSchema-instance" xsi:type="dcterms:W3CDTF">2026-10-26T11:44:13Z</dcterms:modified>
</cp:coreProperties>
</file>